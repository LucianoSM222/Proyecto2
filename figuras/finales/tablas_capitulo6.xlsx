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ón" sheetId="1" state="visible" r:id="rId3"/>
    <sheet name="T6.1 Empate" sheetId="2" state="visible" r:id="rId4"/>
    <sheet name="Limpieza" sheetId="3" state="visible" r:id="rId5"/>
    <sheet name="Pearson" sheetId="4" state="visible" r:id="rId6"/>
    <sheet name="T6.2 Radio RQD" sheetId="5" state="visible" r:id="rId7"/>
    <sheet name="DI ventanas" sheetId="6" state="visible" r:id="rId8"/>
    <sheet name="GroupKFold" sheetId="7" state="visible" r:id="rId9"/>
    <sheet name="LOOCV-Caserón" sheetId="8" state="visible" r:id="rId10"/>
    <sheet name="LOOCV-Caserón métodos" sheetId="9" state="visible" r:id="rId11"/>
    <sheet name="Importancia" sheetId="10" state="visible" r:id="rId12"/>
    <sheet name="Comparación" sheetId="11" state="visible" r:id="rId13"/>
    <sheet name="UCS por litología" sheetId="12" state="visible" r:id="rId14"/>
    <sheet name="PEP estratos" sheetId="13" state="visible" r:id="rId15"/>
    <sheet name="Concordancia 1541" sheetId="14" state="visible" r:id="rId16"/>
    <sheet name="T6.3 Dominios" sheetId="15" state="visible" r:id="rId17"/>
    <sheet name="T6.4 Ranking" sheetId="16" state="visible" r:id="rId18"/>
    <sheet name="Bloqu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<sst xmlns="http://schemas.openxmlformats.org/spreadsheetml/2006/main" count="595" uniqueCount="299">
  <si>
    <t xml:space="preserve">Configuración de la corrida final (2026-10-22)</t>
  </si>
  <si>
    <t xml:space="preserve">Elemento</t>
  </si>
  <si>
    <t xml:space="preserve">Valor</t>
  </si>
  <si>
    <t xml:space="preserve">Registros MWD / pozos</t>
  </si>
  <si>
    <t xml:space="preserve">982420 / 928</t>
  </si>
  <si>
    <t xml:space="preserve">Serie del DI</t>
  </si>
  <si>
    <t xml:space="preserve">depurada: emboquillado y percusión de empate fuera antes de la varianza móvil</t>
  </si>
  <si>
    <t xml:space="preserve">Ventana del DI [muestras]</t>
  </si>
  <si>
    <t xml:space="preserve">Umbral del DI</t>
  </si>
  <si>
    <t xml:space="preserve">Peso PP (calibrado a 5 m)</t>
  </si>
  <si>
    <t xml:space="preserve">Peso RP (calibrado a 5 m)</t>
  </si>
  <si>
    <t xml:space="preserve">Peso DP (calibrado a 5 m)</t>
  </si>
  <si>
    <t xml:space="preserve">Peso FP (calibrado a 5 m)</t>
  </si>
  <si>
    <t xml:space="preserve">ρ ajuste calibración</t>
  </si>
  <si>
    <t xml:space="preserve">ρ validación (un sondaje fuera)</t>
  </si>
  <si>
    <t xml:space="preserve">Pares / sondajes de la calibración</t>
  </si>
  <si>
    <t xml:space="preserve">32 / 4</t>
  </si>
  <si>
    <t xml:space="preserve">Emboquillado [m]</t>
  </si>
  <si>
    <t xml:space="preserve">Umbral de percusión de empate</t>
  </si>
  <si>
    <t xml:space="preserve">Largo de barra [m]</t>
  </si>
  <si>
    <t xml:space="preserve">Random Forest</t>
  </si>
  <si>
    <t xml:space="preserve">200 árboles · profundidad 8 · min_samples_split 6 · min_samples_leaf 3 · max_features √p · semilla 42</t>
  </si>
  <si>
    <t xml:space="preserve">Agregación del bosque</t>
  </si>
  <si>
    <t xml:space="preserve">mediana de los 200 árboles</t>
  </si>
  <si>
    <t xml:space="preserve">Siglas</t>
  </si>
  <si>
    <t xml:space="preserve">FP = flujo · AP = avance · PEP = (PP + RP + AP) / ROP [bar·min/m]</t>
  </si>
  <si>
    <t xml:space="preserve">Tabla 6.1 · Sensibilidad del umbral de caída en percusión de empate</t>
  </si>
  <si>
    <t xml:space="preserve">Total de registros</t>
  </si>
  <si>
    <t xml:space="preserve">Umbral de caída</t>
  </si>
  <si>
    <t xml:space="preserve">Muestras marcadas</t>
  </si>
  <si>
    <t xml:space="preserve">% del total</t>
  </si>
  <si>
    <t xml:space="preserve">Empates esperados por largo de barra (1.756 m. paso 2 cm): 11.189</t>
  </si>
  <si>
    <t xml:space="preserve">Registros excluidos por filtro</t>
  </si>
  <si>
    <t xml:space="preserve">Filtro</t>
  </si>
  <si>
    <t xml:space="preserve">Registros</t>
  </si>
  <si>
    <t xml:space="preserve">Excluye del DI</t>
  </si>
  <si>
    <t xml:space="preserve">Excluye del entrenamiento</t>
  </si>
  <si>
    <t xml:space="preserve">Emboquillado (&lt; 2.0 m)</t>
  </si>
  <si>
    <t xml:space="preserve">sí</t>
  </si>
  <si>
    <t xml:space="preserve">Percusión de empate (caída ≥ 0.25, fuera del emboquillado)</t>
  </si>
  <si>
    <t xml:space="preserve">PP fuera de 90–230 bar</t>
  </si>
  <si>
    <t xml:space="preserve">no</t>
  </si>
  <si>
    <t xml:space="preserve">Continuidad del registro</t>
  </si>
  <si>
    <t xml:space="preserve">Total no entrenable por limpieza</t>
  </si>
  <si>
    <t xml:space="preserve">Embudo del conjunto de entrenamiento</t>
  </si>
  <si>
    <t xml:space="preserve">Etapa</t>
  </si>
  <si>
    <t xml:space="preserve">Quedan</t>
  </si>
  <si>
    <t xml:space="preserve">Perdidos</t>
  </si>
  <si>
    <t xml:space="preserve">Total de puntos MWD</t>
  </si>
  <si>
    <t xml:space="preserve">Entrenable (emboquillado &lt;2 m + filtros de limpieza)</t>
  </si>
  <si>
    <t xml:space="preserve">En un caserón que ENTRENA (todos los cargados)</t>
  </si>
  <si>
    <t xml:space="preserve">Con dominio asignado (dentro de alguna malla)</t>
  </si>
  <si>
    <t xml:space="preserve">Sin ambigüedad de traslape (A.5)</t>
  </si>
  <si>
    <t xml:space="preserve">Dominio con banda de UCS asignada</t>
  </si>
  <si>
    <t xml:space="preserve">Atributo no excluido explícitamente (T1.5)</t>
  </si>
  <si>
    <t xml:space="preserve">Etiqueta de UCS dentro de [0, 450] MPa</t>
  </si>
  <si>
    <t xml:space="preserve">DI ≤ umbral (1) — roca intacta</t>
  </si>
  <si>
    <t xml:space="preserve">Entrenamiento por caserón</t>
  </si>
  <si>
    <t xml:space="preserve">Caserón</t>
  </si>
  <si>
    <t xml:space="preserve">Pozos</t>
  </si>
  <si>
    <t xml:space="preserve">PCC_0042</t>
  </si>
  <si>
    <t xml:space="preserve">PCC_1541</t>
  </si>
  <si>
    <t xml:space="preserve">PCS_1043</t>
  </si>
  <si>
    <t xml:space="preserve">PCS_1059</t>
  </si>
  <si>
    <t xml:space="preserve">Total</t>
  </si>
  <si>
    <t xml:space="preserve">Etiquetas de UCS en el entrenamiento</t>
  </si>
  <si>
    <t xml:space="preserve">UCS referencial [MPa]</t>
  </si>
  <si>
    <t xml:space="preserve">Litología</t>
  </si>
  <si>
    <t xml:space="preserve">Lavas superiores (Kpcls)</t>
  </si>
  <si>
    <t xml:space="preserve">Brecha mixta</t>
  </si>
  <si>
    <t xml:space="preserve">Brecha hidrotermal (Bht)</t>
  </si>
  <si>
    <t xml:space="preserve">Lavas inferiores (Kpcli)</t>
  </si>
  <si>
    <t xml:space="preserve">Correlación de Pearson · señales registradas</t>
  </si>
  <si>
    <t xml:space="preserve">PP</t>
  </si>
  <si>
    <t xml:space="preserve">RP</t>
  </si>
  <si>
    <t xml:space="preserve">DP</t>
  </si>
  <si>
    <t xml:space="preserve">FP</t>
  </si>
  <si>
    <t xml:space="preserve">AP</t>
  </si>
  <si>
    <t xml:space="preserve">Correlación de Pearson · varianza móvil estandarizada (entrada del DI)</t>
  </si>
  <si>
    <t xml:space="preserve">n = 885.030 registros</t>
  </si>
  <si>
    <t xml:space="preserve">Tabla 6.2 · Sensibilidad de la calibración del DI al radio de asignación del RQD</t>
  </si>
  <si>
    <t xml:space="preserve">Radio [m]</t>
  </si>
  <si>
    <t xml:space="preserve">Pares</t>
  </si>
  <si>
    <t xml:space="preserve">Sondajes</t>
  </si>
  <si>
    <t xml:space="preserve">Peso PP</t>
  </si>
  <si>
    <t xml:space="preserve">Peso RP</t>
  </si>
  <si>
    <t xml:space="preserve">Peso DP</t>
  </si>
  <si>
    <t xml:space="preserve">Peso FP</t>
  </si>
  <si>
    <t xml:space="preserve">ρ ajuste</t>
  </si>
  <si>
    <t xml:space="preserve">ρ validación</t>
  </si>
  <si>
    <t xml:space="preserve">Umbral 1.0 · ventana 14 · 401 combinaciones (400 Dirichlet + convención, semilla 42). Celdas vacías: sin pares suficientes.</t>
  </si>
  <si>
    <t xml:space="preserve">Sensibilidad del DI al tamaño de ventana (10, 14 y 20 muestras)</t>
  </si>
  <si>
    <t xml:space="preserve">Pozo de referencia PCC_0042_PR01_TH_P20_H12</t>
  </si>
  <si>
    <t xml:space="preserve">Ventana [muestras]</t>
  </si>
  <si>
    <t xml:space="preserve">Ventana [cm]</t>
  </si>
  <si>
    <t xml:space="preserve">Registros con DI</t>
  </si>
  <si>
    <t xml:space="preserve">Picos</t>
  </si>
  <si>
    <t xml:space="preserve">% sobre umbral</t>
  </si>
  <si>
    <t xml:space="preserve">Cuatro caserones</t>
  </si>
  <si>
    <t xml:space="preserve">Pozos sin DI (cortos)</t>
  </si>
  <si>
    <t xml:space="preserve">Picos por 100 m</t>
  </si>
  <si>
    <t xml:space="preserve">Caserón PCC_0042</t>
  </si>
  <si>
    <t xml:space="preserve">Caserón PCC_1541</t>
  </si>
  <si>
    <t xml:space="preserve">Caserón PCS_1043</t>
  </si>
  <si>
    <t xml:space="preserve">Caserón PCS_1059</t>
  </si>
  <si>
    <t xml:space="preserve">Umbral DI 1.0; pesos calibrados a 5 m; serie depurada (emboquillado y percusión de empate fuera). Picos: eventos sobre el umbral agrupados si están a menos de 0.5 m.</t>
  </si>
  <si>
    <t xml:space="preserve">Validación del Random Forest · GroupKFold por pozo (k = 5)</t>
  </si>
  <si>
    <t xml:space="preserve">Fold</t>
  </si>
  <si>
    <t xml:space="preserve">Registros de prueba</t>
  </si>
  <si>
    <t xml:space="preserve">Etiquetas en prueba</t>
  </si>
  <si>
    <t xml:space="preserve">R²</t>
  </si>
  <si>
    <t xml:space="preserve">RMSE [MPa]</t>
  </si>
  <si>
    <t xml:space="preserve">ρ de Spearman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</si>
  <si>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</si>
  <si>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</si>
  <si>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</si>
  <si>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</si>
  <si>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</si>
  <si>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Media</t>
  </si>
  <si>
    <t xml:space="preserve">Desv. estándar</t>
  </si>
  <si>
    <t xml:space="preserve">Predicción = mediana de los 200 árboles. ρ de Spearman entre UCS predicha y UCS referencial.</t>
  </si>
  <si>
    <t xml:space="preserve">Validación del Random Forest · LOOCV-Caserón</t>
  </si>
  <si>
    <t xml:space="preserve">Caserón fuera</t>
  </si>
  <si>
    <t xml:space="preserve">Media (definidos)</t>
  </si>
  <si>
    <t xml:space="preserve">PCS_1059 tiene una sola etiqueta en la prueba: R² y ρ de Spearman indefinidos (celda vacía); AVERAGE los omite.</t>
  </si>
  <si>
    <t xml:space="preserve">Comparación de métodos de UCS · LOOCV-Caserón</t>
  </si>
  <si>
    <t xml:space="preserve">Método</t>
  </si>
  <si>
    <t xml:space="preserve">Etiquetas</t>
  </si>
  <si>
    <t xml:space="preserve">MAE [MPa]</t>
  </si>
  <si>
    <t xml:space="preserve">r de Pearson</t>
  </si>
  <si>
    <t xml:space="preserve">Línea base (media litología)</t>
  </si>
  <si>
    <t xml:space="preserve">Banda por unidad</t>
  </si>
  <si>
    <t xml:space="preserve">Relación directa PEP↔UCS</t>
  </si>
  <si>
    <t xml:space="preserve">ML (Random Forest)</t>
  </si>
  <si>
    <t xml:space="preserve">Media de los caserones (correlaciones: solo los definidos)</t>
  </si>
  <si>
    <t xml:space="preserve">Celdas vacías: correlación indefinida (PCS_1059 tiene una sola etiqueta; la línea base predice un valor constante).</t>
  </si>
  <si>
    <t xml:space="preserve">Relación directa: da un valor por litología; en un caserón con dos litologías su correlación es ±1 por construcción (PCC_0042 +1, PCC_1541 −1): solo dice si ordenó bien las dos, no cuánto acierta.</t>
  </si>
  <si>
    <t xml:space="preserve">Banda y relación: curva PEP→UCS ajustada sin el caserón, evaluada en la PEP mediana de cada litología del caserón excluido; la banda aparta cada registro del centro según su PEP.</t>
  </si>
  <si>
    <t xml:space="preserve">Curva PEP→UCS de cada pliegue</t>
  </si>
  <si>
    <t xml:space="preserve">Forma</t>
  </si>
  <si>
    <t xml:space="preserve">Coeficientes</t>
  </si>
  <si>
    <t xml:space="preserve">Pares (PEP mediana, UCS referencial)</t>
  </si>
  <si>
    <t xml:space="preserve">Extrapola</t>
  </si>
  <si>
    <t xml:space="preserve">lineal</t>
  </si>
  <si>
    <t xml:space="preserve">0.3075, 6.872</t>
  </si>
  <si>
    <t xml:space="preserve">(330.9, 128.1); (453.3, 111.5); (386.7, 180.0); (299.3, 60.0)</t>
  </si>
  <si>
    <t xml:space="preserve">-0.343, 272.6</t>
  </si>
  <si>
    <t xml:space="preserve">(344.1, 128.1); (453.3, 111.5); (363.1, 180.0)</t>
  </si>
  <si>
    <t xml:space="preserve">Bht, Kpcls</t>
  </si>
  <si>
    <t xml:space="preserve">1.948, -514</t>
  </si>
  <si>
    <t xml:space="preserve">(322.1, 128.1); (359.1, 180.0); (299.3, 60.0)</t>
  </si>
  <si>
    <t xml:space="preserve">Brecha_mixta, Kpcli</t>
  </si>
  <si>
    <t xml:space="preserve">0.1984, 48.23</t>
  </si>
  <si>
    <t xml:space="preserve">(332.4, 128.1); (453.3, 111.5); (359.7, 180.0); (299.3, 60.0)</t>
  </si>
  <si>
    <t xml:space="preserve">Importancia por permutación de las predictoras</t>
  </si>
  <si>
    <t xml:space="preserve">Predictora</t>
  </si>
  <si>
    <t xml:space="preserve">Importancia</t>
  </si>
  <si>
    <t xml:space="preserve">PEP</t>
  </si>
  <si>
    <t xml:space="preserve">ROP</t>
  </si>
  <si>
    <t xml:space="preserve">Permutación sobre 20.000 puntos de 271 pozos NO vistos en el ajuste. Semilla 42, 10 repeticiones.</t>
  </si>
  <si>
    <t xml:space="preserve">Ajuste del modelo de producción</t>
  </si>
  <si>
    <t xml:space="preserve">Métrica</t>
  </si>
  <si>
    <t xml:space="preserve">R² GroupKFold (media)</t>
  </si>
  <si>
    <t xml:space="preserve">R² GroupKFold (desv.)</t>
  </si>
  <si>
    <t xml:space="preserve">R² entrenamiento</t>
  </si>
  <si>
    <t xml:space="preserve">RMSE entrenamiento [MPa]</t>
  </si>
  <si>
    <t xml:space="preserve">Registros de entrenamiento</t>
  </si>
  <si>
    <t xml:space="preserve">Comparación de algoritmos · GroupKFold por pozo</t>
  </si>
  <si>
    <t xml:space="preserve">Modelo</t>
  </si>
  <si>
    <t xml:space="preserve">R² prueba</t>
  </si>
  <si>
    <t xml:space="preserve">Desv. R² prueba</t>
  </si>
  <si>
    <t xml:space="preserve">RMSE prueba [MPa]</t>
  </si>
  <si>
    <t xml:space="preserve">Desv. RMSE</t>
  </si>
  <si>
    <t xml:space="preserve">Sobreajuste (R² ent. − R² prueba)</t>
  </si>
  <si>
    <t xml:space="preserve">Lineal</t>
  </si>
  <si>
    <t xml:space="preserve">KNN</t>
  </si>
  <si>
    <t xml:space="preserve">HistGradientBoosting</t>
  </si>
  <si>
    <t xml:space="preserve">MLP (control)</t>
  </si>
  <si>
    <t xml:space="preserve">Mismos 59.326 registros para los cinco modelos. 76 pozos. k = 5.</t>
  </si>
  <si>
    <t xml:space="preserve">UCS de laboratorio (referencial) y UCS predicha, roca intacta entrenable</t>
  </si>
  <si>
    <t xml:space="preserve">P10 ML</t>
  </si>
  <si>
    <t xml:space="preserve">P50 ML</t>
  </si>
  <si>
    <t xml:space="preserve">P90 ML</t>
  </si>
  <si>
    <t xml:space="preserve">P50 − referencial</t>
  </si>
  <si>
    <t xml:space="preserve">Ancho de la banda P10–P90 de la predicción</t>
  </si>
  <si>
    <t xml:space="preserve">Roca</t>
  </si>
  <si>
    <t xml:space="preserve">Media [MPa]</t>
  </si>
  <si>
    <t xml:space="preserve">Mediana [MPa]</t>
  </si>
  <si>
    <t xml:space="preserve">intacta (DI ≤ 1)</t>
  </si>
  <si>
    <t xml:space="preserve">fracturada (DI &gt; 1)</t>
  </si>
  <si>
    <t xml:space="preserve">PEP y ROP medianas por litología y estrato de PP (roca intacta entrenable)</t>
  </si>
  <si>
    <t xml:space="preserve">Estrato PP [bar]</t>
  </si>
  <si>
    <t xml:space="preserve">PEP mediana [bar·min/m]</t>
  </si>
  <si>
    <t xml:space="preserve">CV PEP</t>
  </si>
  <si>
    <t xml:space="preserve">ROP mediana [m/min]</t>
  </si>
  <si>
    <t xml:space="preserve">90–100</t>
  </si>
  <si>
    <t xml:space="preserve">100–110</t>
  </si>
  <si>
    <t xml:space="preserve">110–120</t>
  </si>
  <si>
    <t xml:space="preserve">120–130</t>
  </si>
  <si>
    <t xml:space="preserve">130–140</t>
  </si>
  <si>
    <t xml:space="preserve">140–150</t>
  </si>
  <si>
    <t xml:space="preserve">150–160</t>
  </si>
  <si>
    <t xml:space="preserve">160–170</t>
  </si>
  <si>
    <t xml:space="preserve">170–180</t>
  </si>
  <si>
    <t xml:space="preserve">180–190</t>
  </si>
  <si>
    <t xml:space="preserve">190–200</t>
  </si>
  <si>
    <t xml:space="preserve">200–210</t>
  </si>
  <si>
    <t xml:space="preserve">210–220</t>
  </si>
  <si>
    <t xml:space="preserve">220–230</t>
  </si>
  <si>
    <t xml:space="preserve">Correlación de Spearman de la PEP por registro</t>
  </si>
  <si>
    <t xml:space="preserve">Variable</t>
  </si>
  <si>
    <t xml:space="preserve">ρ de Spearman con la PEP</t>
  </si>
  <si>
    <t xml:space="preserve">UCS referencial</t>
  </si>
  <si>
    <t xml:space="preserve">717.526 registros entrenables de roca intacta con PEP ≤ 1000 y ROP ≥ 0.2 m/min; 506 excluidos por PEP &gt; 1000 (ROP ≈ 0).</t>
  </si>
  <si>
    <t xml:space="preserve">Picos de DI y cruces de malla en PCC_1541 (radio 3 m)</t>
  </si>
  <si>
    <t xml:space="preserve">Umbral DI</t>
  </si>
  <si>
    <t xml:space="preserve">Cruces</t>
  </si>
  <si>
    <t xml:space="preserve">Precisión</t>
  </si>
  <si>
    <t xml:space="preserve">Recall</t>
  </si>
  <si>
    <t xml:space="preserve">Precisión al azar</t>
  </si>
  <si>
    <t xml:space="preserve">Precisión − azar</t>
  </si>
  <si>
    <t xml:space="preserve">Desfase pico de DI − cruce de malla más cercano</t>
  </si>
  <si>
    <t xml:space="preserve">Estadístico</t>
  </si>
  <si>
    <t xml:space="preserve">Valor [m]</t>
  </si>
  <si>
    <t xml:space="preserve">Mediana</t>
  </si>
  <si>
    <t xml:space="preserve">Tabla 6.3 · Agrupación de dominios geomecánicos</t>
  </si>
  <si>
    <t xml:space="preserve">Grupo</t>
  </si>
  <si>
    <t xml:space="preserve">Estructura</t>
  </si>
  <si>
    <t xml:space="preserve">UCS ML media [MPa]</t>
  </si>
  <si>
    <t xml:space="preserve">DI medio</t>
  </si>
  <si>
    <t xml:space="preserve">Tramos</t>
  </si>
  <si>
    <t xml:space="preserve">Registros MWD</t>
  </si>
  <si>
    <t xml:space="preserve">G2</t>
  </si>
  <si>
    <t xml:space="preserve">Kpcli</t>
  </si>
  <si>
    <t xml:space="preserve">—</t>
  </si>
  <si>
    <t xml:space="preserve">G1</t>
  </si>
  <si>
    <t xml:space="preserve">Bht</t>
  </si>
  <si>
    <t xml:space="preserve">G39</t>
  </si>
  <si>
    <t xml:space="preserve">Kpcls</t>
  </si>
  <si>
    <t xml:space="preserve">G8</t>
  </si>
  <si>
    <t xml:space="preserve">G9</t>
  </si>
  <si>
    <t xml:space="preserve">G11</t>
  </si>
  <si>
    <t xml:space="preserve">FM</t>
  </si>
  <si>
    <t xml:space="preserve">G3</t>
  </si>
  <si>
    <t xml:space="preserve">Brecha_mixta</t>
  </si>
  <si>
    <t xml:space="preserve">G6</t>
  </si>
  <si>
    <t xml:space="preserve">G5</t>
  </si>
  <si>
    <t xml:space="preserve">G19</t>
  </si>
  <si>
    <t xml:space="preserve">ZF</t>
  </si>
  <si>
    <t xml:space="preserve">G32</t>
  </si>
  <si>
    <t xml:space="preserve">G45</t>
  </si>
  <si>
    <t xml:space="preserve">G13</t>
  </si>
  <si>
    <t xml:space="preserve">G43</t>
  </si>
  <si>
    <t xml:space="preserve">G40</t>
  </si>
  <si>
    <t xml:space="preserve">50 grupos en total; tramos de 2.0 m, UCS ± 20.0 MPa, DI ± 0.5. Se listan los de mayor muestra.</t>
  </si>
  <si>
    <t xml:space="preserve">Tabla 6.4 · Ranking de 5 recomendaciones históricas de perforación — dominio G2</t>
  </si>
  <si>
    <t xml:space="preserve">Criterio</t>
  </si>
  <si>
    <t xml:space="preserve">N°</t>
  </si>
  <si>
    <t xml:space="preserve">PP [bar]</t>
  </si>
  <si>
    <t xml:space="preserve">RP [bar]</t>
  </si>
  <si>
    <t xml:space="preserve">AP [bar]</t>
  </si>
  <si>
    <t xml:space="preserve">DP [bar]</t>
  </si>
  <si>
    <t xml:space="preserve">FP [bar]</t>
  </si>
  <si>
    <t xml:space="preserve">ROP [m/min]</t>
  </si>
  <si>
    <t xml:space="preserve">PEP [bar·min/m]</t>
  </si>
  <si>
    <t xml:space="preserve">Pozo</t>
  </si>
  <si>
    <t xml:space="preserve">Prof. [m]</t>
  </si>
  <si>
    <t xml:space="preserve">Mín. variación de PEP</t>
  </si>
  <si>
    <t xml:space="preserve">PCS_1059_PR01_P205_H8</t>
  </si>
  <si>
    <t xml:space="preserve">PCS_1059_PR01_P204_H6</t>
  </si>
  <si>
    <t xml:space="preserve">PCS_1059_PR01_P204_H16</t>
  </si>
  <si>
    <t xml:space="preserve">PCS_1059_PR01_P103_HU10</t>
  </si>
  <si>
    <t xml:space="preserve">PCC_0042_PR01_TH_P32_H15</t>
  </si>
  <si>
    <t xml:space="preserve">Mínima PEP</t>
  </si>
  <si>
    <t xml:space="preserve">PCS_1059_PR01_P203_H13</t>
  </si>
  <si>
    <t xml:space="preserve">PCC_0042_PR01_TH_P20_H13</t>
  </si>
  <si>
    <t xml:space="preserve">PCC_0042_PR04_TH_P359_H2</t>
  </si>
  <si>
    <t xml:space="preserve">PCC_0042_PR04_TH_P352_H4</t>
  </si>
  <si>
    <t xml:space="preserve">Máxima ROP</t>
  </si>
  <si>
    <t xml:space="preserve">PCC_0042_PR04_TH_P355_H8</t>
  </si>
  <si>
    <t xml:space="preserve">PCC_0042_PR04_TH_P358_H2</t>
  </si>
  <si>
    <t xml:space="preserve">PCC_0042_PR01_TH_P49_H6</t>
  </si>
  <si>
    <t xml:space="preserve">Modelo de bloques de 2,5 m (IDW)</t>
  </si>
  <si>
    <t xml:space="preserve">Bloques</t>
  </si>
  <si>
    <t xml:space="preserve">Cobertura</t>
  </si>
  <si>
    <t xml:space="preserve">Volumen [m³]</t>
  </si>
  <si>
    <t xml:space="preserve">% de bloques con DI &gt; 1</t>
  </si>
  <si>
    <t xml:space="preserve">DI mediana</t>
  </si>
  <si>
    <t xml:space="preserve">UCS mediana [MPa]</t>
  </si>
  <si>
    <t xml:space="preserve">UCS P10 [MPa]</t>
  </si>
  <si>
    <t xml:space="preserve">UCS P90 [MPa]</t>
  </si>
  <si>
    <t xml:space="preserve">Bloques por clase de DI</t>
  </si>
  <si>
    <t xml:space="preserve">Clase de DI</t>
  </si>
  <si>
    <t xml:space="preserve">Banda ISRM de UCS</t>
  </si>
  <si>
    <t xml:space="preserve">transición (1 &lt; DI ≤ 1,5)</t>
  </si>
  <si>
    <t xml:space="preserve">R5 muy alta</t>
  </si>
  <si>
    <t xml:space="preserve">sana (DI ≤ 1)</t>
  </si>
  <si>
    <t xml:space="preserve">fracturada (DI &gt; 1,5)</t>
  </si>
  <si>
    <t xml:space="preserve">Aproximación de apoyo a la tronadura, no modelo geológico validado. Un bloque sin soporte de datos no se incluye.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</si>
</sst>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"/>
    <numFmt numFmtId="167" formatCode="0.00%"/>
    <numFmt numFmtId="168" formatCode="0.0"/>
    <numFmt numFmtId="169" formatCode="0"/>
    <numFmt numFmtId="170" formatCode="\+0.000;\-0.000"/>
    <numFmt numFmtId="171" formatCode="0.0%"/>
    <numFmt numFmtId="172" formatCode="0.000"/>
    <numFmt numFmtId="173" formatCode="\+0.0;\-0.0"/>
    <numFmt numFmtId="174" formatCode="\+0.0%;\-0.0%"/>
    <numFmt numFmtId="175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4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s">
        <v>4</v>
      </c>
    </row>
    <row r="4" customFormat="false" ht="15" hidden="false" customHeight="false" outlineLevel="0" collapsed="false">
      <c r="A4" s="4" t="s">
        <v>5</v>
      </c>
      <c r="B4" s="4" t="s">
        <v>6</v>
      </c>
    </row>
    <row r="5" customFormat="false" ht="15" hidden="false" customHeight="false" outlineLevel="0" collapsed="false">
      <c r="A5" s="3" t="s">
        <v>7</v>
      </c>
      <c r="B5" s="3" t="n">
        <v>14</v>
      </c>
    </row>
    <row r="6" customFormat="false" ht="15" hidden="false" customHeight="false" outlineLevel="0" collapsed="false">
      <c r="A6" s="4" t="s">
        <v>8</v>
      </c>
      <c r="B6" s="4" t="n">
        <v>1</v>
      </c>
    </row>
    <row r="7" customFormat="false" ht="15" hidden="false" customHeight="false" outlineLevel="0" collapsed="false">
      <c r="A7" s="3" t="s">
        <v>9</v>
      </c>
      <c r="B7" s="3" t="n">
        <v>0.007</v>
      </c>
    </row>
    <row r="8" customFormat="false" ht="15" hidden="false" customHeight="false" outlineLevel="0" collapsed="false">
      <c r="A8" s="4" t="s">
        <v>10</v>
      </c>
      <c r="B8" s="4" t="n">
        <v>0.3881</v>
      </c>
    </row>
    <row r="9" customFormat="false" ht="15" hidden="false" customHeight="false" outlineLevel="0" collapsed="false">
      <c r="A9" s="3" t="s">
        <v>11</v>
      </c>
      <c r="B9" s="3" t="n">
        <v>0.0696</v>
      </c>
    </row>
    <row r="10" customFormat="false" ht="15" hidden="false" customHeight="false" outlineLevel="0" collapsed="false">
      <c r="A10" s="4" t="s">
        <v>12</v>
      </c>
      <c r="B10" s="4" t="n">
        <v>0.5353</v>
      </c>
    </row>
    <row r="11" customFormat="false" ht="15" hidden="false" customHeight="false" outlineLevel="0" collapsed="false">
      <c r="A11" s="3" t="s">
        <v>13</v>
      </c>
      <c r="B11" s="3" t="n">
        <v>0.2357</v>
      </c>
    </row>
    <row r="12" customFormat="false" ht="15" hidden="false" customHeight="false" outlineLevel="0" collapsed="false">
      <c r="A12" s="4" t="s">
        <v>14</v>
      </c>
      <c r="B12" s="4" t="n">
        <v>0.0506</v>
      </c>
    </row>
    <row r="13" customFormat="false" ht="15" hidden="false" customHeight="false" outlineLevel="0" collapsed="false">
      <c r="A13" s="3" t="s">
        <v>15</v>
      </c>
      <c r="B13" s="3" t="s">
        <v>16</v>
      </c>
    </row>
    <row r="14" customFormat="false" ht="15" hidden="false" customHeight="false" outlineLevel="0" collapsed="false">
      <c r="A14" s="4" t="s">
        <v>17</v>
      </c>
      <c r="B14" s="4" t="n">
        <v>2</v>
      </c>
    </row>
    <row r="15" customFormat="false" ht="15" hidden="false" customHeight="false" outlineLevel="0" collapsed="false">
      <c r="A15" s="3" t="s">
        <v>18</v>
      </c>
      <c r="B15" s="3" t="n">
        <v>0.25</v>
      </c>
    </row>
    <row r="16" customFormat="false" ht="15" hidden="false" customHeight="false" outlineLevel="0" collapsed="false">
      <c r="A16" s="4" t="s">
        <v>19</v>
      </c>
      <c r="B16" s="4" t="n">
        <v>1.756</v>
      </c>
    </row>
    <row r="17" customFormat="false" ht="15" hidden="false" customHeight="false" outlineLevel="0" collapsed="false">
      <c r="A17" s="3" t="s">
        <v>20</v>
      </c>
      <c r="B17" s="3" t="s">
        <v>21</v>
      </c>
    </row>
    <row r="18" customFormat="false" ht="15" hidden="false" customHeight="false" outlineLevel="0" collapsed="false">
      <c r="A18" s="4" t="s">
        <v>22</v>
      </c>
      <c r="B18" s="4" t="s">
        <v>23</v>
      </c>
    </row>
    <row r="19" customFormat="false" ht="15" hidden="false" customHeight="false" outlineLevel="0" collapsed="false">
      <c r="A19" s="3" t="s">
        <v>24</v>
      </c>
      <c r="B19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0" t="s">
        <v>27</v>
      </c>
      <c r="B2" s="5" t="n">
        <v>982420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</row>
    <row r="5" customFormat="false" ht="15" hidden="false" customHeight="false" outlineLevel="0" collapsed="false">
      <c r="A5" s="6" t="n">
        <v>0.2</v>
      </c>
      <c r="B5" s="7" t="n">
        <v>14738</v>
      </c>
      <c r="C5" s="8" t="n">
        <f aca="false">B5/$B$2</f>
        <v>0.0150017304207976</v>
      </c>
    </row>
    <row r="6" customFormat="false" ht="15" hidden="false" customHeight="false" outlineLevel="0" collapsed="false">
      <c r="A6" s="9" t="n">
        <v>0.25</v>
      </c>
      <c r="B6" s="10" t="n">
        <v>12786</v>
      </c>
      <c r="C6" s="11" t="n">
        <f aca="false">B6/$B$2</f>
        <v>0.0130148001872926</v>
      </c>
    </row>
    <row r="7" customFormat="false" ht="15" hidden="false" customHeight="false" outlineLevel="0" collapsed="false">
      <c r="A7" s="6" t="n">
        <v>0.3</v>
      </c>
      <c r="B7" s="7" t="n">
        <v>11100</v>
      </c>
      <c r="C7" s="8" t="n">
        <f aca="false">B7/$B$2</f>
        <v>0.0112986299138861</v>
      </c>
    </row>
    <row r="8" customFormat="false" ht="15" hidden="false" customHeight="false" outlineLevel="0" collapsed="false">
      <c r="A8" s="9" t="n">
        <v>0.35</v>
      </c>
      <c r="B8" s="10" t="n">
        <v>8766</v>
      </c>
      <c r="C8" s="11" t="n">
        <f aca="false">B8/$B$2</f>
        <v>0.00892286394820952</v>
      </c>
    </row>
    <row r="9" customFormat="false" ht="15" hidden="false" customHeight="false" outlineLevel="0" collapsed="false">
      <c r="A9" s="6" t="n">
        <v>0.4</v>
      </c>
      <c r="B9" s="7" t="n">
        <v>5615</v>
      </c>
      <c r="C9" s="8" t="n">
        <f aca="false">B9/$B$2</f>
        <v>0.00571547810508744</v>
      </c>
    </row>
    <row r="10" customFormat="false" ht="15" hidden="false" customHeight="false" outlineLevel="0" collapsed="false">
      <c r="A10" s="9" t="n">
        <v>0.45</v>
      </c>
      <c r="B10" s="10" t="n">
        <v>3859</v>
      </c>
      <c r="C10" s="11" t="n">
        <f aca="false">B10/$B$2</f>
        <v>0.00392805521060239</v>
      </c>
    </row>
    <row r="11" customFormat="false" ht="15" hidden="false" customHeight="false" outlineLevel="0" collapsed="false">
      <c r="A11" s="6" t="n">
        <v>0.5</v>
      </c>
      <c r="B11" s="7" t="n">
        <v>3029</v>
      </c>
      <c r="C11" s="8" t="n">
        <f aca="false">B11/$B$2</f>
        <v>0.00308320270352802</v>
      </c>
    </row>
    <row r="12" customFormat="false" ht="15" hidden="false" customHeight="false" outlineLevel="0" collapsed="false">
      <c r="A12" s="9" t="n">
        <v>0.55</v>
      </c>
      <c r="B12" s="10" t="n">
        <v>2602</v>
      </c>
      <c r="C12" s="11" t="n">
        <f aca="false">B12/$B$2</f>
        <v>0.0026485617149488</v>
      </c>
    </row>
    <row r="13" customFormat="false" ht="15" hidden="false" customHeight="false" outlineLevel="0" collapsed="false">
      <c r="A13" s="6" t="n">
        <v>0.6</v>
      </c>
      <c r="B13" s="7" t="n">
        <v>2335</v>
      </c>
      <c r="C13" s="8" t="n">
        <f aca="false">B13/$B$2</f>
        <v>0.00237678386026343</v>
      </c>
    </row>
    <row r="14" customFormat="false" ht="15" hidden="false" customHeight="false" outlineLevel="0" collapsed="false">
      <c r="A14" s="9" t="n">
        <v>0.65</v>
      </c>
      <c r="B14" s="10" t="n">
        <v>2203</v>
      </c>
      <c r="C14" s="11" t="n">
        <f aca="false">B14/$B$2</f>
        <v>0.002242421774801</v>
      </c>
    </row>
    <row r="15" customFormat="false" ht="15" hidden="false" customHeight="false" outlineLevel="0" collapsed="false">
      <c r="A15" s="6" t="n">
        <v>0.7</v>
      </c>
      <c r="B15" s="7" t="n">
        <v>2080</v>
      </c>
      <c r="C15" s="8" t="n">
        <f aca="false">B15/$B$2</f>
        <v>0.0021172207406201</v>
      </c>
    </row>
    <row r="16" customFormat="false" ht="15" hidden="false" customHeight="false" outlineLevel="0" collapsed="false">
      <c r="A16" s="9" t="n">
        <v>0.75</v>
      </c>
      <c r="B16" s="10" t="n">
        <v>1959</v>
      </c>
      <c r="C16" s="11" t="n">
        <f aca="false">B16/$B$2</f>
        <v>0.00199405549561287</v>
      </c>
    </row>
    <row r="17" customFormat="false" ht="15" hidden="false" customHeight="false" outlineLevel="0" collapsed="false">
      <c r="A17" s="6" t="n">
        <v>0.8</v>
      </c>
      <c r="B17" s="7" t="n">
        <v>1846</v>
      </c>
      <c r="C17" s="8" t="n">
        <f aca="false">B17/$B$2</f>
        <v>0.00187903340730034</v>
      </c>
    </row>
    <row r="19" customFormat="false" ht="15" hidden="false" customHeight="false" outlineLevel="0" collapsed="false">
      <c r="A19" s="1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7"/>
    <col collapsed="false" customWidth="true" hidden="false" outlineLevel="0" max="3" min="3" style="0" width="17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</row>
    <row r="3" customFormat="false" ht="15" hidden="false" customHeight="false" outlineLevel="0" collapsed="false">
      <c r="A3" s="3" t="s">
        <v>37</v>
      </c>
      <c r="B3" s="7" t="n">
        <v>86785</v>
      </c>
      <c r="C3" s="3" t="s">
        <v>38</v>
      </c>
      <c r="D3" s="3" t="s">
        <v>38</v>
      </c>
    </row>
    <row r="4" customFormat="false" ht="15" hidden="false" customHeight="false" outlineLevel="0" collapsed="false">
      <c r="A4" s="4" t="s">
        <v>39</v>
      </c>
      <c r="B4" s="10" t="n">
        <v>8911</v>
      </c>
      <c r="C4" s="4" t="s">
        <v>38</v>
      </c>
      <c r="D4" s="4" t="s">
        <v>38</v>
      </c>
    </row>
    <row r="5" customFormat="false" ht="15" hidden="false" customHeight="false" outlineLevel="0" collapsed="false">
      <c r="A5" s="3" t="s">
        <v>40</v>
      </c>
      <c r="B5" s="7" t="n">
        <v>12103</v>
      </c>
      <c r="C5" s="3" t="s">
        <v>41</v>
      </c>
      <c r="D5" s="3" t="s">
        <v>38</v>
      </c>
    </row>
    <row r="6" customFormat="false" ht="15" hidden="false" customHeight="false" outlineLevel="0" collapsed="false">
      <c r="A6" s="4" t="s">
        <v>42</v>
      </c>
      <c r="B6" s="10" t="n">
        <v>5162</v>
      </c>
      <c r="C6" s="4" t="s">
        <v>41</v>
      </c>
      <c r="D6" s="4" t="s">
        <v>38</v>
      </c>
    </row>
    <row r="7" customFormat="false" ht="15" hidden="false" customHeight="false" outlineLevel="0" collapsed="false">
      <c r="A7" s="3" t="s">
        <v>43</v>
      </c>
      <c r="B7" s="7" t="n">
        <v>112961</v>
      </c>
      <c r="C7" s="3"/>
      <c r="D7" s="3"/>
    </row>
    <row r="9" customFormat="false" ht="16.15" hidden="false" customHeight="false" outlineLevel="0" collapsed="false">
      <c r="A9" s="1" t="s">
        <v>44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</row>
    <row r="11" customFormat="false" ht="15" hidden="false" customHeight="false" outlineLevel="0" collapsed="false">
      <c r="A11" s="3" t="s">
        <v>48</v>
      </c>
      <c r="B11" s="7" t="n">
        <v>982420</v>
      </c>
      <c r="C11" s="7" t="n">
        <v>0</v>
      </c>
    </row>
    <row r="12" customFormat="false" ht="15" hidden="false" customHeight="false" outlineLevel="0" collapsed="false">
      <c r="A12" s="4" t="s">
        <v>49</v>
      </c>
      <c r="B12" s="10" t="n">
        <v>869459</v>
      </c>
      <c r="C12" s="10" t="n">
        <v>112961</v>
      </c>
    </row>
    <row r="13" customFormat="false" ht="15" hidden="false" customHeight="false" outlineLevel="0" collapsed="false">
      <c r="A13" s="3" t="s">
        <v>50</v>
      </c>
      <c r="B13" s="7" t="n">
        <v>869459</v>
      </c>
      <c r="C13" s="7" t="n">
        <v>0</v>
      </c>
    </row>
    <row r="14" customFormat="false" ht="15" hidden="false" customHeight="false" outlineLevel="0" collapsed="false">
      <c r="A14" s="4" t="s">
        <v>51</v>
      </c>
      <c r="B14" s="10" t="n">
        <v>869459</v>
      </c>
      <c r="C14" s="10" t="n">
        <v>0</v>
      </c>
    </row>
    <row r="15" customFormat="false" ht="15" hidden="false" customHeight="false" outlineLevel="0" collapsed="false">
      <c r="A15" s="3" t="s">
        <v>52</v>
      </c>
      <c r="B15" s="7" t="n">
        <v>869459</v>
      </c>
      <c r="C15" s="7" t="n">
        <v>0</v>
      </c>
    </row>
    <row r="16" customFormat="false" ht="15" hidden="false" customHeight="false" outlineLevel="0" collapsed="false">
      <c r="A16" s="4" t="s">
        <v>53</v>
      </c>
      <c r="B16" s="10" t="n">
        <v>869459</v>
      </c>
      <c r="C16" s="10" t="n">
        <v>0</v>
      </c>
    </row>
    <row r="17" customFormat="false" ht="15" hidden="false" customHeight="false" outlineLevel="0" collapsed="false">
      <c r="A17" s="3" t="s">
        <v>54</v>
      </c>
      <c r="B17" s="7" t="n">
        <v>869459</v>
      </c>
      <c r="C17" s="7" t="n">
        <v>0</v>
      </c>
    </row>
    <row r="18" customFormat="false" ht="15" hidden="false" customHeight="false" outlineLevel="0" collapsed="false">
      <c r="A18" s="4" t="s">
        <v>55</v>
      </c>
      <c r="B18" s="10" t="n">
        <v>869459</v>
      </c>
      <c r="C18" s="10" t="n">
        <v>0</v>
      </c>
    </row>
    <row r="19" customFormat="false" ht="15" hidden="false" customHeight="false" outlineLevel="0" collapsed="false">
      <c r="A19" s="3" t="s">
        <v>56</v>
      </c>
      <c r="B19" s="7" t="n">
        <v>723601</v>
      </c>
      <c r="C19" s="7" t="n">
        <v>145858</v>
      </c>
    </row>
    <row r="21" customFormat="false" ht="16.15" hidden="false" customHeight="false" outlineLevel="0" collapsed="false">
      <c r="A21" s="1" t="s">
        <v>57</v>
      </c>
    </row>
    <row r="22" customFormat="false" ht="15" hidden="false" customHeight="false" outlineLevel="0" collapsed="false">
      <c r="A22" s="2" t="s">
        <v>58</v>
      </c>
      <c r="B22" s="2" t="s">
        <v>34</v>
      </c>
      <c r="C22" s="2" t="s">
        <v>59</v>
      </c>
    </row>
    <row r="23" customFormat="false" ht="15" hidden="false" customHeight="false" outlineLevel="0" collapsed="false">
      <c r="A23" s="3" t="s">
        <v>60</v>
      </c>
      <c r="B23" s="7" t="n">
        <v>365414</v>
      </c>
      <c r="C23" s="7" t="n">
        <v>418</v>
      </c>
    </row>
    <row r="24" customFormat="false" ht="15" hidden="false" customHeight="false" outlineLevel="0" collapsed="false">
      <c r="A24" s="4" t="s">
        <v>61</v>
      </c>
      <c r="B24" s="10" t="n">
        <v>131053</v>
      </c>
      <c r="C24" s="10" t="n">
        <v>235</v>
      </c>
    </row>
    <row r="25" customFormat="false" ht="15" hidden="false" customHeight="false" outlineLevel="0" collapsed="false">
      <c r="A25" s="3" t="s">
        <v>62</v>
      </c>
      <c r="B25" s="7" t="n">
        <v>122026</v>
      </c>
      <c r="C25" s="7" t="n">
        <v>124</v>
      </c>
    </row>
    <row r="26" customFormat="false" ht="15" hidden="false" customHeight="false" outlineLevel="0" collapsed="false">
      <c r="A26" s="4" t="s">
        <v>63</v>
      </c>
      <c r="B26" s="10" t="n">
        <v>105108</v>
      </c>
      <c r="C26" s="10" t="n">
        <v>125</v>
      </c>
    </row>
    <row r="27" customFormat="false" ht="15" hidden="false" customHeight="false" outlineLevel="0" collapsed="false">
      <c r="A27" s="13" t="s">
        <v>64</v>
      </c>
      <c r="B27" s="5" t="n">
        <f aca="false">SUM(B23:B26)</f>
        <v>723601</v>
      </c>
      <c r="C27" s="5" t="n">
        <f aca="false">SUM(C23:C26)</f>
        <v>902</v>
      </c>
    </row>
    <row r="29" customFormat="false" ht="16.15" hidden="false" customHeight="false" outlineLevel="0" collapsed="false">
      <c r="A29" s="1" t="s">
        <v>65</v>
      </c>
    </row>
    <row r="30" customFormat="false" ht="15" hidden="false" customHeight="false" outlineLevel="0" collapsed="false">
      <c r="A30" s="2" t="s">
        <v>66</v>
      </c>
      <c r="B30" s="2" t="s">
        <v>67</v>
      </c>
      <c r="C30" s="2" t="s">
        <v>34</v>
      </c>
    </row>
    <row r="31" customFormat="false" ht="15" hidden="false" customHeight="false" outlineLevel="0" collapsed="false">
      <c r="A31" s="14" t="n">
        <v>60</v>
      </c>
      <c r="B31" s="3" t="s">
        <v>68</v>
      </c>
      <c r="C31" s="7" t="n">
        <v>53596</v>
      </c>
    </row>
    <row r="32" customFormat="false" ht="15" hidden="false" customHeight="false" outlineLevel="0" collapsed="false">
      <c r="A32" s="15" t="n">
        <v>111.5</v>
      </c>
      <c r="B32" s="4" t="s">
        <v>69</v>
      </c>
      <c r="C32" s="10" t="n">
        <v>16851</v>
      </c>
    </row>
    <row r="33" customFormat="false" ht="15" hidden="false" customHeight="false" outlineLevel="0" collapsed="false">
      <c r="A33" s="14" t="n">
        <v>128.1</v>
      </c>
      <c r="B33" s="3" t="s">
        <v>70</v>
      </c>
      <c r="C33" s="7" t="n">
        <v>226219</v>
      </c>
    </row>
    <row r="34" customFormat="false" ht="15" hidden="false" customHeight="false" outlineLevel="0" collapsed="false">
      <c r="A34" s="15" t="n">
        <v>180</v>
      </c>
      <c r="B34" s="4" t="s">
        <v>71</v>
      </c>
      <c r="C34" s="10" t="n">
        <v>426935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3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/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</row>
    <row r="3" customFormat="false" ht="15" hidden="false" customHeight="false" outlineLevel="0" collapsed="false">
      <c r="A3" s="3" t="s">
        <v>73</v>
      </c>
      <c r="B3" s="6" t="n">
        <v>1</v>
      </c>
      <c r="C3" s="6" t="n">
        <v>0.038</v>
      </c>
      <c r="D3" s="6" t="n">
        <v>0.47</v>
      </c>
      <c r="E3" s="6" t="n">
        <v>0.209</v>
      </c>
      <c r="F3" s="6" t="n">
        <v>0.435</v>
      </c>
    </row>
    <row r="4" customFormat="false" ht="15" hidden="false" customHeight="false" outlineLevel="0" collapsed="false">
      <c r="A4" s="4" t="s">
        <v>74</v>
      </c>
      <c r="B4" s="9" t="n">
        <v>0.038</v>
      </c>
      <c r="C4" s="9" t="n">
        <v>1</v>
      </c>
      <c r="D4" s="9" t="n">
        <v>0.056</v>
      </c>
      <c r="E4" s="9" t="n">
        <v>-0.343</v>
      </c>
      <c r="F4" s="9" t="n">
        <v>0.057</v>
      </c>
    </row>
    <row r="5" customFormat="false" ht="15" hidden="false" customHeight="false" outlineLevel="0" collapsed="false">
      <c r="A5" s="3" t="s">
        <v>75</v>
      </c>
      <c r="B5" s="6" t="n">
        <v>0.47</v>
      </c>
      <c r="C5" s="6" t="n">
        <v>0.056</v>
      </c>
      <c r="D5" s="6" t="n">
        <v>1</v>
      </c>
      <c r="E5" s="6" t="n">
        <v>0.226</v>
      </c>
      <c r="F5" s="6" t="n">
        <v>0.549</v>
      </c>
    </row>
    <row r="6" customFormat="false" ht="15" hidden="false" customHeight="false" outlineLevel="0" collapsed="false">
      <c r="A6" s="4" t="s">
        <v>76</v>
      </c>
      <c r="B6" s="9" t="n">
        <v>0.209</v>
      </c>
      <c r="C6" s="9" t="n">
        <v>-0.343</v>
      </c>
      <c r="D6" s="9" t="n">
        <v>0.226</v>
      </c>
      <c r="E6" s="9" t="n">
        <v>1</v>
      </c>
      <c r="F6" s="9" t="n">
        <v>0.294</v>
      </c>
    </row>
    <row r="7" customFormat="false" ht="15" hidden="false" customHeight="false" outlineLevel="0" collapsed="false">
      <c r="A7" s="3" t="s">
        <v>77</v>
      </c>
      <c r="B7" s="6" t="n">
        <v>0.435</v>
      </c>
      <c r="C7" s="6" t="n">
        <v>0.057</v>
      </c>
      <c r="D7" s="6" t="n">
        <v>0.549</v>
      </c>
      <c r="E7" s="6" t="n">
        <v>0.294</v>
      </c>
      <c r="F7" s="6" t="n">
        <v>1</v>
      </c>
    </row>
    <row r="9" customFormat="false" ht="16.15" hidden="false" customHeight="false" outlineLevel="0" collapsed="false">
      <c r="A9" s="1" t="s">
        <v>78</v>
      </c>
    </row>
    <row r="10" customFormat="false" ht="15" hidden="false" customHeight="false" outlineLevel="0" collapsed="false">
      <c r="A10" s="2"/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</row>
    <row r="11" customFormat="false" ht="15" hidden="false" customHeight="false" outlineLevel="0" collapsed="false">
      <c r="A11" s="3" t="s">
        <v>73</v>
      </c>
      <c r="B11" s="6" t="n">
        <v>1</v>
      </c>
      <c r="C11" s="6" t="n">
        <v>0.345</v>
      </c>
      <c r="D11" s="6" t="n">
        <v>0.531</v>
      </c>
      <c r="E11" s="6" t="n">
        <v>0.178</v>
      </c>
      <c r="F11" s="6" t="n">
        <v>0.433</v>
      </c>
    </row>
    <row r="12" customFormat="false" ht="15" hidden="false" customHeight="false" outlineLevel="0" collapsed="false">
      <c r="A12" s="4" t="s">
        <v>74</v>
      </c>
      <c r="B12" s="9" t="n">
        <v>0.345</v>
      </c>
      <c r="C12" s="9" t="n">
        <v>1</v>
      </c>
      <c r="D12" s="9" t="n">
        <v>0.398</v>
      </c>
      <c r="E12" s="9" t="n">
        <v>0.113</v>
      </c>
      <c r="F12" s="9" t="n">
        <v>0.268</v>
      </c>
    </row>
    <row r="13" customFormat="false" ht="15" hidden="false" customHeight="false" outlineLevel="0" collapsed="false">
      <c r="A13" s="3" t="s">
        <v>75</v>
      </c>
      <c r="B13" s="6" t="n">
        <v>0.531</v>
      </c>
      <c r="C13" s="6" t="n">
        <v>0.398</v>
      </c>
      <c r="D13" s="6" t="n">
        <v>1</v>
      </c>
      <c r="E13" s="6" t="n">
        <v>0.145</v>
      </c>
      <c r="F13" s="6" t="n">
        <v>0.468</v>
      </c>
    </row>
    <row r="14" customFormat="false" ht="15" hidden="false" customHeight="false" outlineLevel="0" collapsed="false">
      <c r="A14" s="4" t="s">
        <v>76</v>
      </c>
      <c r="B14" s="9" t="n">
        <v>0.178</v>
      </c>
      <c r="C14" s="9" t="n">
        <v>0.113</v>
      </c>
      <c r="D14" s="9" t="n">
        <v>0.145</v>
      </c>
      <c r="E14" s="9" t="n">
        <v>1</v>
      </c>
      <c r="F14" s="9" t="n">
        <v>0.246</v>
      </c>
    </row>
    <row r="15" customFormat="false" ht="15" hidden="false" customHeight="false" outlineLevel="0" collapsed="false">
      <c r="A15" s="3" t="s">
        <v>77</v>
      </c>
      <c r="B15" s="6" t="n">
        <v>0.433</v>
      </c>
      <c r="C15" s="6" t="n">
        <v>0.268</v>
      </c>
      <c r="D15" s="6" t="n">
        <v>0.468</v>
      </c>
      <c r="E15" s="6" t="n">
        <v>0.246</v>
      </c>
      <c r="F15" s="6" t="n">
        <v>1</v>
      </c>
    </row>
    <row r="17" customFormat="false" ht="15" hidden="false" customHeight="false" outlineLevel="0" collapsed="false">
      <c r="A17" s="1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  <col collapsed="false" customWidth="true" hidden="false" outlineLevel="0" max="9" min="9" style="0" width="15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</row>
    <row r="3" customFormat="false" ht="15" hidden="false" customHeight="false" outlineLevel="0" collapsed="false">
      <c r="A3" s="14" t="n">
        <v>2</v>
      </c>
      <c r="B3" s="16" t="n">
        <v>5</v>
      </c>
      <c r="C3" s="16" t="n">
        <v>2</v>
      </c>
      <c r="D3" s="6" t="n">
        <v>0.0065</v>
      </c>
      <c r="E3" s="6" t="n">
        <v>0.0165</v>
      </c>
      <c r="F3" s="6" t="n">
        <v>0.2823</v>
      </c>
      <c r="G3" s="6" t="n">
        <v>0.6947</v>
      </c>
      <c r="H3" s="17" t="n">
        <v>0.9</v>
      </c>
      <c r="I3" s="17"/>
    </row>
    <row r="4" customFormat="false" ht="15" hidden="false" customHeight="false" outlineLevel="0" collapsed="false">
      <c r="A4" s="15" t="n">
        <v>3</v>
      </c>
      <c r="B4" s="18" t="n">
        <v>11</v>
      </c>
      <c r="C4" s="18" t="n">
        <v>3</v>
      </c>
      <c r="D4" s="9" t="n">
        <v>0.0065</v>
      </c>
      <c r="E4" s="9" t="n">
        <v>0.0165</v>
      </c>
      <c r="F4" s="9" t="n">
        <v>0.2823</v>
      </c>
      <c r="G4" s="9" t="n">
        <v>0.6947</v>
      </c>
      <c r="H4" s="19" t="n">
        <v>0.1364</v>
      </c>
      <c r="I4" s="19" t="n">
        <v>0.7714</v>
      </c>
    </row>
    <row r="5" customFormat="false" ht="15" hidden="false" customHeight="false" outlineLevel="0" collapsed="false">
      <c r="A5" s="14" t="n">
        <v>5</v>
      </c>
      <c r="B5" s="16" t="n">
        <v>32</v>
      </c>
      <c r="C5" s="16" t="n">
        <v>4</v>
      </c>
      <c r="D5" s="6" t="n">
        <v>0.007</v>
      </c>
      <c r="E5" s="6" t="n">
        <v>0.3881</v>
      </c>
      <c r="F5" s="6" t="n">
        <v>0.0696</v>
      </c>
      <c r="G5" s="6" t="n">
        <v>0.5353</v>
      </c>
      <c r="H5" s="17" t="n">
        <v>0.2357</v>
      </c>
      <c r="I5" s="17" t="n">
        <v>0.0506</v>
      </c>
    </row>
    <row r="6" customFormat="false" ht="15" hidden="false" customHeight="false" outlineLevel="0" collapsed="false">
      <c r="A6" s="15" t="n">
        <v>7.5</v>
      </c>
      <c r="B6" s="18" t="n">
        <v>48</v>
      </c>
      <c r="C6" s="18" t="n">
        <v>4</v>
      </c>
      <c r="D6" s="9" t="n">
        <v>0.2212</v>
      </c>
      <c r="E6" s="9" t="n">
        <v>0.2095</v>
      </c>
      <c r="F6" s="9" t="n">
        <v>0.0205</v>
      </c>
      <c r="G6" s="9" t="n">
        <v>0.5488</v>
      </c>
      <c r="H6" s="19" t="n">
        <v>0.3555</v>
      </c>
      <c r="I6" s="19" t="n">
        <v>0.0947</v>
      </c>
    </row>
    <row r="7" customFormat="false" ht="15" hidden="false" customHeight="false" outlineLevel="0" collapsed="false">
      <c r="A7" s="14" t="n">
        <v>10</v>
      </c>
      <c r="B7" s="16" t="n">
        <v>59</v>
      </c>
      <c r="C7" s="16" t="n">
        <v>4</v>
      </c>
      <c r="D7" s="6" t="n">
        <v>0.6313</v>
      </c>
      <c r="E7" s="6" t="n">
        <v>0.0075</v>
      </c>
      <c r="F7" s="6" t="n">
        <v>0.3402</v>
      </c>
      <c r="G7" s="6" t="n">
        <v>0.021</v>
      </c>
      <c r="H7" s="17" t="n">
        <v>0.3966</v>
      </c>
      <c r="I7" s="17" t="n">
        <v>0.1549</v>
      </c>
    </row>
    <row r="8" customFormat="false" ht="15" hidden="false" customHeight="false" outlineLevel="0" collapsed="false">
      <c r="A8" s="15" t="n">
        <v>15</v>
      </c>
      <c r="B8" s="18" t="n">
        <v>73</v>
      </c>
      <c r="C8" s="18" t="n">
        <v>4</v>
      </c>
      <c r="D8" s="9" t="n">
        <v>0.2273</v>
      </c>
      <c r="E8" s="9" t="n">
        <v>0.1879</v>
      </c>
      <c r="F8" s="9" t="n">
        <v>0.2163</v>
      </c>
      <c r="G8" s="9" t="n">
        <v>0.3685</v>
      </c>
      <c r="H8" s="19" t="n">
        <v>0.4465</v>
      </c>
      <c r="I8" s="19" t="n">
        <v>0.2728</v>
      </c>
    </row>
    <row r="9" customFormat="false" ht="15" hidden="false" customHeight="false" outlineLevel="0" collapsed="false">
      <c r="A9" s="14" t="n">
        <v>25</v>
      </c>
      <c r="B9" s="16" t="n">
        <v>108</v>
      </c>
      <c r="C9" s="16" t="n">
        <v>5</v>
      </c>
      <c r="D9" s="6" t="n">
        <v>0.3489</v>
      </c>
      <c r="E9" s="6" t="n">
        <v>0.1604</v>
      </c>
      <c r="F9" s="6" t="n">
        <v>0.0862</v>
      </c>
      <c r="G9" s="6" t="n">
        <v>0.4045</v>
      </c>
      <c r="H9" s="17" t="n">
        <v>0.3007</v>
      </c>
      <c r="I9" s="17" t="n">
        <v>0.2869</v>
      </c>
    </row>
    <row r="11" customFormat="false" ht="15" hidden="false" customHeight="false" outlineLevel="0" collapsed="false">
      <c r="A11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1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91</v>
      </c>
    </row>
    <row r="2" customFormat="false" ht="16.15" hidden="false" customHeight="false" outlineLevel="0" collapsed="false">
      <c r="A2" s="1" t="s">
        <v>92</v>
      </c>
    </row>
    <row r="3" customFormat="false" ht="15" hidden="false" customHeight="false" outlineLevel="0" collapsed="false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</row>
    <row r="4" customFormat="false" ht="15" hidden="false" customHeight="false" outlineLevel="0" collapsed="false">
      <c r="A4" s="16" t="n">
        <v>10</v>
      </c>
      <c r="B4" s="16" t="n">
        <v>20</v>
      </c>
      <c r="C4" s="7" t="n">
        <v>1654</v>
      </c>
      <c r="D4" s="7" t="n">
        <v>20</v>
      </c>
      <c r="E4" s="20" t="n">
        <v>0.1524</v>
      </c>
    </row>
    <row r="5" customFormat="false" ht="15" hidden="false" customHeight="false" outlineLevel="0" collapsed="false">
      <c r="A5" s="18" t="n">
        <v>14</v>
      </c>
      <c r="B5" s="18" t="n">
        <v>28</v>
      </c>
      <c r="C5" s="10" t="n">
        <v>1654</v>
      </c>
      <c r="D5" s="10" t="n">
        <v>17</v>
      </c>
      <c r="E5" s="21" t="n">
        <v>0.1717</v>
      </c>
    </row>
    <row r="6" customFormat="false" ht="15" hidden="false" customHeight="false" outlineLevel="0" collapsed="false">
      <c r="A6" s="16" t="n">
        <v>20</v>
      </c>
      <c r="B6" s="16" t="n">
        <v>40</v>
      </c>
      <c r="C6" s="7" t="n">
        <v>1654</v>
      </c>
      <c r="D6" s="7" t="n">
        <v>17</v>
      </c>
      <c r="E6" s="20" t="n">
        <v>0.1911</v>
      </c>
    </row>
    <row r="8" customFormat="false" ht="16.15" hidden="false" customHeight="false" outlineLevel="0" collapsed="false">
      <c r="A8" s="1" t="s">
        <v>98</v>
      </c>
    </row>
    <row r="9" customFormat="false" ht="15" hidden="false" customHeight="false" outlineLevel="0" collapsed="false">
      <c r="A9" s="2" t="s">
        <v>93</v>
      </c>
      <c r="B9" s="2" t="s">
        <v>94</v>
      </c>
      <c r="C9" s="2" t="s">
        <v>59</v>
      </c>
      <c r="D9" s="2" t="s">
        <v>99</v>
      </c>
      <c r="E9" s="2" t="s">
        <v>95</v>
      </c>
      <c r="F9" s="2" t="s">
        <v>96</v>
      </c>
      <c r="G9" s="2" t="s">
        <v>100</v>
      </c>
      <c r="H9" s="2" t="s">
        <v>97</v>
      </c>
    </row>
    <row r="10" customFormat="false" ht="15" hidden="false" customHeight="false" outlineLevel="0" collapsed="false">
      <c r="A10" s="3" t="n">
        <v>10</v>
      </c>
      <c r="B10" s="16" t="n">
        <v>20</v>
      </c>
      <c r="C10" s="7" t="n">
        <v>928</v>
      </c>
      <c r="D10" s="7" t="n">
        <v>20</v>
      </c>
      <c r="E10" s="7" t="n">
        <v>885030</v>
      </c>
      <c r="F10" s="7" t="n">
        <v>8338</v>
      </c>
      <c r="G10" s="6" t="n">
        <v>41.17</v>
      </c>
      <c r="H10" s="20" t="n">
        <v>0.1505</v>
      </c>
    </row>
    <row r="11" customFormat="false" ht="15" hidden="false" customHeight="false" outlineLevel="0" collapsed="false">
      <c r="A11" s="4" t="n">
        <v>14</v>
      </c>
      <c r="B11" s="18" t="n">
        <v>28</v>
      </c>
      <c r="C11" s="10" t="n">
        <v>928</v>
      </c>
      <c r="D11" s="10" t="n">
        <v>20</v>
      </c>
      <c r="E11" s="10" t="n">
        <v>885030</v>
      </c>
      <c r="F11" s="10" t="n">
        <v>7870</v>
      </c>
      <c r="G11" s="9" t="n">
        <v>38.86</v>
      </c>
      <c r="H11" s="21" t="n">
        <v>0.1703</v>
      </c>
    </row>
    <row r="12" customFormat="false" ht="15" hidden="false" customHeight="false" outlineLevel="0" collapsed="false">
      <c r="A12" s="3" t="n">
        <v>20</v>
      </c>
      <c r="B12" s="16" t="n">
        <v>40</v>
      </c>
      <c r="C12" s="7" t="n">
        <v>928</v>
      </c>
      <c r="D12" s="7" t="n">
        <v>23</v>
      </c>
      <c r="E12" s="7" t="n">
        <v>884977</v>
      </c>
      <c r="F12" s="7" t="n">
        <v>7218</v>
      </c>
      <c r="G12" s="6" t="n">
        <v>35.64</v>
      </c>
      <c r="H12" s="20" t="n">
        <v>0.193</v>
      </c>
    </row>
    <row r="14" customFormat="false" ht="16.15" hidden="false" customHeight="false" outlineLevel="0" collapsed="false">
      <c r="A14" s="1" t="s">
        <v>101</v>
      </c>
    </row>
    <row r="15" customFormat="false" ht="15" hidden="false" customHeight="false" outlineLevel="0" collapsed="false">
      <c r="A15" s="2" t="s">
        <v>93</v>
      </c>
      <c r="B15" s="2" t="s">
        <v>94</v>
      </c>
      <c r="C15" s="2" t="s">
        <v>59</v>
      </c>
      <c r="D15" s="2" t="s">
        <v>99</v>
      </c>
      <c r="E15" s="2" t="s">
        <v>95</v>
      </c>
      <c r="F15" s="2" t="s">
        <v>96</v>
      </c>
      <c r="G15" s="2" t="s">
        <v>100</v>
      </c>
      <c r="H15" s="2" t="s">
        <v>97</v>
      </c>
    </row>
    <row r="16" customFormat="false" ht="15" hidden="false" customHeight="false" outlineLevel="0" collapsed="false">
      <c r="A16" s="3" t="n">
        <v>10</v>
      </c>
      <c r="B16" s="16" t="n">
        <v>20</v>
      </c>
      <c r="C16" s="7" t="n">
        <v>436</v>
      </c>
      <c r="D16" s="7" t="n">
        <v>17</v>
      </c>
      <c r="E16" s="7" t="n">
        <v>434091</v>
      </c>
      <c r="F16" s="7" t="n">
        <v>4280</v>
      </c>
      <c r="G16" s="6" t="n">
        <v>43.3</v>
      </c>
      <c r="H16" s="20" t="n">
        <v>0.1229</v>
      </c>
    </row>
    <row r="17" customFormat="false" ht="15" hidden="false" customHeight="false" outlineLevel="0" collapsed="false">
      <c r="A17" s="4" t="n">
        <v>14</v>
      </c>
      <c r="B17" s="18" t="n">
        <v>28</v>
      </c>
      <c r="C17" s="10" t="n">
        <v>436</v>
      </c>
      <c r="D17" s="10" t="n">
        <v>17</v>
      </c>
      <c r="E17" s="10" t="n">
        <v>434091</v>
      </c>
      <c r="F17" s="10" t="n">
        <v>3873</v>
      </c>
      <c r="G17" s="9" t="n">
        <v>39.18</v>
      </c>
      <c r="H17" s="21" t="n">
        <v>0.1407</v>
      </c>
    </row>
    <row r="18" customFormat="false" ht="15" hidden="false" customHeight="false" outlineLevel="0" collapsed="false">
      <c r="A18" s="3" t="n">
        <v>20</v>
      </c>
      <c r="B18" s="16" t="n">
        <v>40</v>
      </c>
      <c r="C18" s="7" t="n">
        <v>436</v>
      </c>
      <c r="D18" s="7" t="n">
        <v>18</v>
      </c>
      <c r="E18" s="7" t="n">
        <v>434074</v>
      </c>
      <c r="F18" s="7" t="n">
        <v>3433</v>
      </c>
      <c r="G18" s="6" t="n">
        <v>34.73</v>
      </c>
      <c r="H18" s="20" t="n">
        <v>0.1625</v>
      </c>
    </row>
    <row r="20" customFormat="false" ht="16.15" hidden="false" customHeight="false" outlineLevel="0" collapsed="false">
      <c r="A20" s="1" t="s">
        <v>102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59</v>
      </c>
      <c r="D21" s="2" t="s">
        <v>99</v>
      </c>
      <c r="E21" s="2" t="s">
        <v>95</v>
      </c>
      <c r="F21" s="2" t="s">
        <v>96</v>
      </c>
      <c r="G21" s="2" t="s">
        <v>100</v>
      </c>
      <c r="H21" s="2" t="s">
        <v>97</v>
      </c>
    </row>
    <row r="22" customFormat="false" ht="15" hidden="false" customHeight="false" outlineLevel="0" collapsed="false">
      <c r="A22" s="3" t="n">
        <v>10</v>
      </c>
      <c r="B22" s="16" t="n">
        <v>20</v>
      </c>
      <c r="C22" s="7" t="n">
        <v>237</v>
      </c>
      <c r="D22" s="7" t="n">
        <v>1</v>
      </c>
      <c r="E22" s="7" t="n">
        <v>178452</v>
      </c>
      <c r="F22" s="7" t="n">
        <v>1409</v>
      </c>
      <c r="G22" s="6" t="n">
        <v>33.81</v>
      </c>
      <c r="H22" s="20" t="n">
        <v>0.2367</v>
      </c>
    </row>
    <row r="23" customFormat="false" ht="15" hidden="false" customHeight="false" outlineLevel="0" collapsed="false">
      <c r="A23" s="4" t="n">
        <v>14</v>
      </c>
      <c r="B23" s="18" t="n">
        <v>28</v>
      </c>
      <c r="C23" s="10" t="n">
        <v>237</v>
      </c>
      <c r="D23" s="10" t="n">
        <v>1</v>
      </c>
      <c r="E23" s="10" t="n">
        <v>178452</v>
      </c>
      <c r="F23" s="10" t="n">
        <v>1594</v>
      </c>
      <c r="G23" s="9" t="n">
        <v>38.25</v>
      </c>
      <c r="H23" s="21" t="n">
        <v>0.2612</v>
      </c>
    </row>
    <row r="24" customFormat="false" ht="15" hidden="false" customHeight="false" outlineLevel="0" collapsed="false">
      <c r="A24" s="3" t="n">
        <v>20</v>
      </c>
      <c r="B24" s="16" t="n">
        <v>40</v>
      </c>
      <c r="C24" s="7" t="n">
        <v>237</v>
      </c>
      <c r="D24" s="7" t="n">
        <v>3</v>
      </c>
      <c r="E24" s="7" t="n">
        <v>178416</v>
      </c>
      <c r="F24" s="7" t="n">
        <v>1650</v>
      </c>
      <c r="G24" s="6" t="n">
        <v>39.59</v>
      </c>
      <c r="H24" s="20" t="n">
        <v>0.2893</v>
      </c>
    </row>
    <row r="26" customFormat="false" ht="16.15" hidden="false" customHeight="false" outlineLevel="0" collapsed="false">
      <c r="A26" s="1" t="s">
        <v>103</v>
      </c>
    </row>
    <row r="27" customFormat="false" ht="15" hidden="false" customHeight="false" outlineLevel="0" collapsed="false">
      <c r="A27" s="2" t="s">
        <v>93</v>
      </c>
      <c r="B27" s="2" t="s">
        <v>94</v>
      </c>
      <c r="C27" s="2" t="s">
        <v>59</v>
      </c>
      <c r="D27" s="2" t="s">
        <v>99</v>
      </c>
      <c r="E27" s="2" t="s">
        <v>95</v>
      </c>
      <c r="F27" s="2" t="s">
        <v>96</v>
      </c>
      <c r="G27" s="2" t="s">
        <v>100</v>
      </c>
      <c r="H27" s="2" t="s">
        <v>97</v>
      </c>
    </row>
    <row r="28" customFormat="false" ht="15" hidden="false" customHeight="false" outlineLevel="0" collapsed="false">
      <c r="A28" s="3" t="n">
        <v>10</v>
      </c>
      <c r="B28" s="16" t="n">
        <v>20</v>
      </c>
      <c r="C28" s="7" t="n">
        <v>125</v>
      </c>
      <c r="D28" s="7" t="n">
        <v>0</v>
      </c>
      <c r="E28" s="7" t="n">
        <v>143472</v>
      </c>
      <c r="F28" s="7" t="n">
        <v>1452</v>
      </c>
      <c r="G28" s="6" t="n">
        <v>44.77</v>
      </c>
      <c r="H28" s="20" t="n">
        <v>0.1243</v>
      </c>
    </row>
    <row r="29" customFormat="false" ht="15" hidden="false" customHeight="false" outlineLevel="0" collapsed="false">
      <c r="A29" s="4" t="n">
        <v>14</v>
      </c>
      <c r="B29" s="18" t="n">
        <v>28</v>
      </c>
      <c r="C29" s="10" t="n">
        <v>125</v>
      </c>
      <c r="D29" s="10" t="n">
        <v>0</v>
      </c>
      <c r="E29" s="10" t="n">
        <v>143472</v>
      </c>
      <c r="F29" s="10" t="n">
        <v>1293</v>
      </c>
      <c r="G29" s="9" t="n">
        <v>39.87</v>
      </c>
      <c r="H29" s="21" t="n">
        <v>0.1417</v>
      </c>
    </row>
    <row r="30" customFormat="false" ht="15" hidden="false" customHeight="false" outlineLevel="0" collapsed="false">
      <c r="A30" s="3" t="n">
        <v>20</v>
      </c>
      <c r="B30" s="16" t="n">
        <v>40</v>
      </c>
      <c r="C30" s="7" t="n">
        <v>125</v>
      </c>
      <c r="D30" s="7" t="n">
        <v>0</v>
      </c>
      <c r="E30" s="7" t="n">
        <v>143472</v>
      </c>
      <c r="F30" s="7" t="n">
        <v>1113</v>
      </c>
      <c r="G30" s="6" t="n">
        <v>34.32</v>
      </c>
      <c r="H30" s="20" t="n">
        <v>0.1593</v>
      </c>
    </row>
    <row r="32" customFormat="false" ht="16.15" hidden="false" customHeight="false" outlineLevel="0" collapsed="false">
      <c r="A32" s="1" t="s">
        <v>104</v>
      </c>
    </row>
    <row r="33" customFormat="false" ht="15" hidden="false" customHeight="false" outlineLevel="0" collapsed="false">
      <c r="A33" s="2" t="s">
        <v>93</v>
      </c>
      <c r="B33" s="2" t="s">
        <v>94</v>
      </c>
      <c r="C33" s="2" t="s">
        <v>59</v>
      </c>
      <c r="D33" s="2" t="s">
        <v>99</v>
      </c>
      <c r="E33" s="2" t="s">
        <v>95</v>
      </c>
      <c r="F33" s="2" t="s">
        <v>96</v>
      </c>
      <c r="G33" s="2" t="s">
        <v>100</v>
      </c>
      <c r="H33" s="2" t="s">
        <v>97</v>
      </c>
    </row>
    <row r="34" customFormat="false" ht="15" hidden="false" customHeight="false" outlineLevel="0" collapsed="false">
      <c r="A34" s="3" t="n">
        <v>10</v>
      </c>
      <c r="B34" s="16" t="n">
        <v>20</v>
      </c>
      <c r="C34" s="7" t="n">
        <v>130</v>
      </c>
      <c r="D34" s="7" t="n">
        <v>2</v>
      </c>
      <c r="E34" s="7" t="n">
        <v>129015</v>
      </c>
      <c r="F34" s="7" t="n">
        <v>1197</v>
      </c>
      <c r="G34" s="6" t="n">
        <v>40.47</v>
      </c>
      <c r="H34" s="20" t="n">
        <v>0.1534</v>
      </c>
    </row>
    <row r="35" customFormat="false" ht="15" hidden="false" customHeight="false" outlineLevel="0" collapsed="false">
      <c r="A35" s="4" t="n">
        <v>14</v>
      </c>
      <c r="B35" s="18" t="n">
        <v>28</v>
      </c>
      <c r="C35" s="10" t="n">
        <v>130</v>
      </c>
      <c r="D35" s="10" t="n">
        <v>2</v>
      </c>
      <c r="E35" s="10" t="n">
        <v>129015</v>
      </c>
      <c r="F35" s="10" t="n">
        <v>1110</v>
      </c>
      <c r="G35" s="9" t="n">
        <v>37.53</v>
      </c>
      <c r="H35" s="21" t="n">
        <v>0.1757</v>
      </c>
    </row>
    <row r="36" customFormat="false" ht="15" hidden="false" customHeight="false" outlineLevel="0" collapsed="false">
      <c r="A36" s="3" t="n">
        <v>20</v>
      </c>
      <c r="B36" s="16" t="n">
        <v>40</v>
      </c>
      <c r="C36" s="7" t="n">
        <v>130</v>
      </c>
      <c r="D36" s="7" t="n">
        <v>2</v>
      </c>
      <c r="E36" s="7" t="n">
        <v>129015</v>
      </c>
      <c r="F36" s="7" t="n">
        <v>1022</v>
      </c>
      <c r="G36" s="6" t="n">
        <v>34.56</v>
      </c>
      <c r="H36" s="20" t="n">
        <v>0.2002</v>
      </c>
    </row>
    <row r="38" customFormat="false" ht="15" hidden="false" customHeight="false" outlineLevel="0" collapsed="false">
      <c r="A38" s="1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5" min="4" style="0" width="13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</row>
    <row r="3" customFormat="false" ht="15" hidden="false" customHeight="false" outlineLevel="0" collapsed="false">
      <c r="A3" s="3" t="s">
        <v>113</v>
      </c>
      <c r="B3" s="7" t="n">
        <v>144720</v>
      </c>
      <c r="C3" s="16" t="n">
        <v>4</v>
      </c>
      <c r="D3" s="17" t="n">
        <v>0.273</v>
      </c>
      <c r="E3" s="6" t="n">
        <v>29.06</v>
      </c>
      <c r="F3" s="17" t="n">
        <v>0.524</v>
      </c>
    </row>
    <row r="4" customFormat="false" ht="15" hidden="false" customHeight="false" outlineLevel="0" collapsed="false">
      <c r="A4" s="4" t="s">
        <v>114</v>
      </c>
      <c r="B4" s="10" t="n">
        <v>144720</v>
      </c>
      <c r="C4" s="18" t="n">
        <v>4</v>
      </c>
      <c r="D4" s="19" t="n">
        <v>0.325</v>
      </c>
      <c r="E4" s="9" t="n">
        <v>29.87</v>
      </c>
      <c r="F4" s="19" t="n">
        <v>0.597</v>
      </c>
    </row>
    <row r="5" customFormat="false" ht="15" hidden="false" customHeight="false" outlineLevel="0" collapsed="false">
      <c r="A5" s="3" t="s">
        <v>115</v>
      </c>
      <c r="B5" s="7" t="n">
        <v>144721</v>
      </c>
      <c r="C5" s="16" t="n">
        <v>4</v>
      </c>
      <c r="D5" s="17" t="n">
        <v>0.273</v>
      </c>
      <c r="E5" s="6" t="n">
        <v>31.9</v>
      </c>
      <c r="F5" s="17" t="n">
        <v>0.557</v>
      </c>
    </row>
    <row r="6" customFormat="false" ht="15" hidden="false" customHeight="false" outlineLevel="0" collapsed="false">
      <c r="A6" s="4" t="s">
        <v>116</v>
      </c>
      <c r="B6" s="10" t="n">
        <v>144721</v>
      </c>
      <c r="C6" s="18" t="n">
        <v>4</v>
      </c>
      <c r="D6" s="19" t="n">
        <v>0.297</v>
      </c>
      <c r="E6" s="9" t="n">
        <v>28.93</v>
      </c>
      <c r="F6" s="19" t="n">
        <v>0.573</v>
      </c>
    </row>
    <row r="7" customFormat="false" ht="15" hidden="false" customHeight="false" outlineLevel="0" collapsed="false">
      <c r="A7" s="3" t="s">
        <v>117</v>
      </c>
      <c r="B7" s="7" t="n">
        <v>144719</v>
      </c>
      <c r="C7" s="16" t="n">
        <v>4</v>
      </c>
      <c r="D7" s="17" t="n">
        <v>0.281</v>
      </c>
      <c r="E7" s="6" t="n">
        <v>32.01</v>
      </c>
      <c r="F7" s="17" t="n">
        <v>0.567</v>
      </c>
    </row>
    <row r="8" customFormat="false" ht="15" hidden="false" customHeight="false" outlineLevel="0" collapsed="false">
      <c r="A8" s="13" t="s">
        <v>118</v>
      </c>
      <c r="D8" s="22" t="n">
        <f aca="false">AVERAGE(D3:D7)</f>
        <v>0.2898</v>
      </c>
      <c r="E8" s="23" t="n">
        <f aca="false">AVERAGE(E3:E7)</f>
        <v>30.354</v>
      </c>
      <c r="F8" s="22" t="n">
        <f aca="false">AVERAGE(F3:F7)</f>
        <v>0.5636</v>
      </c>
    </row>
    <row r="9" customFormat="false" ht="15" hidden="false" customHeight="false" outlineLevel="0" collapsed="false">
      <c r="A9" s="13" t="s">
        <v>119</v>
      </c>
      <c r="D9" s="24" t="n">
        <f aca="false">STDEV(D3:D7)</f>
        <v>0.0219818106624545</v>
      </c>
      <c r="E9" s="24" t="n">
        <f aca="false">STDEV(E3:E7)</f>
        <v>1.50573237994007</v>
      </c>
      <c r="F9" s="24" t="n">
        <f aca="false">STDEV(F3:F7)</f>
        <v>0.0265857104475317</v>
      </c>
    </row>
    <row r="11" customFormat="false" ht="15" hidden="false" customHeight="false" outlineLevel="0" collapsed="false">
      <c r="A11" s="1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5" min="4" style="0" width="13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</row>
    <row r="3" customFormat="false" ht="15" hidden="false" customHeight="false" outlineLevel="0" collapsed="false">
      <c r="A3" s="3" t="s">
        <v>60</v>
      </c>
      <c r="B3" s="7" t="n">
        <v>365414</v>
      </c>
      <c r="C3" s="16" t="n">
        <v>2</v>
      </c>
      <c r="D3" s="17" t="n">
        <v>-3.547</v>
      </c>
      <c r="E3" s="6" t="n">
        <v>44.85</v>
      </c>
      <c r="F3" s="17" t="n">
        <v>0.237</v>
      </c>
    </row>
    <row r="4" customFormat="false" ht="15" hidden="false" customHeight="false" outlineLevel="0" collapsed="false">
      <c r="A4" s="4" t="s">
        <v>61</v>
      </c>
      <c r="B4" s="10" t="n">
        <v>131053</v>
      </c>
      <c r="C4" s="18" t="n">
        <v>2</v>
      </c>
      <c r="D4" s="19" t="n">
        <v>-4.138</v>
      </c>
      <c r="E4" s="9" t="n">
        <v>75.89</v>
      </c>
      <c r="F4" s="19" t="n">
        <v>0.049</v>
      </c>
    </row>
    <row r="5" customFormat="false" ht="15" hidden="false" customHeight="false" outlineLevel="0" collapsed="false">
      <c r="A5" s="3" t="s">
        <v>62</v>
      </c>
      <c r="B5" s="7" t="n">
        <v>122026</v>
      </c>
      <c r="C5" s="16" t="n">
        <v>3</v>
      </c>
      <c r="D5" s="17" t="n">
        <v>-0.613</v>
      </c>
      <c r="E5" s="6" t="n">
        <v>31.58</v>
      </c>
      <c r="F5" s="17" t="n">
        <v>0.048</v>
      </c>
    </row>
    <row r="6" customFormat="false" ht="15" hidden="false" customHeight="false" outlineLevel="0" collapsed="false">
      <c r="A6" s="4" t="s">
        <v>63</v>
      </c>
      <c r="B6" s="10" t="n">
        <v>105108</v>
      </c>
      <c r="C6" s="18" t="n">
        <v>1</v>
      </c>
      <c r="D6" s="19"/>
      <c r="E6" s="9" t="n">
        <v>49.81</v>
      </c>
      <c r="F6" s="19"/>
    </row>
    <row r="7" customFormat="false" ht="15" hidden="false" customHeight="false" outlineLevel="0" collapsed="false">
      <c r="A7" s="13" t="s">
        <v>123</v>
      </c>
      <c r="D7" s="22" t="n">
        <f aca="false">AVERAGE(D3:D6)</f>
        <v>-2.766</v>
      </c>
      <c r="E7" s="23" t="n">
        <f aca="false">AVERAGE(E3:E6)</f>
        <v>50.5325</v>
      </c>
      <c r="F7" s="22" t="n">
        <f aca="false">AVERAGE(F3:F6)</f>
        <v>0.111333333333333</v>
      </c>
    </row>
    <row r="10" customFormat="false" ht="15" hidden="false" customHeight="false" outlineLevel="0" collapsed="false">
      <c r="A10" s="12" t="s">
        <v>124</v>
      </c>
    </row>
    <row r="11" customFormat="false" ht="15" hidden="false" customHeight="false" outlineLevel="0" collapsed="false">
      <c r="A11" s="1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  <c r="B2" s="2" t="s">
        <v>122</v>
      </c>
      <c r="C2" s="2" t="s">
        <v>108</v>
      </c>
      <c r="D2" s="2" t="s">
        <v>127</v>
      </c>
      <c r="E2" s="2" t="s">
        <v>111</v>
      </c>
      <c r="F2" s="2" t="s">
        <v>128</v>
      </c>
      <c r="G2" s="2" t="s">
        <v>129</v>
      </c>
      <c r="H2" s="2" t="s">
        <v>112</v>
      </c>
    </row>
    <row r="3" customFormat="false" ht="15" hidden="false" customHeight="false" outlineLevel="0" collapsed="false">
      <c r="A3" s="3" t="s">
        <v>130</v>
      </c>
      <c r="B3" s="3" t="s">
        <v>60</v>
      </c>
      <c r="C3" s="7" t="n">
        <v>365416</v>
      </c>
      <c r="D3" s="16" t="n">
        <v>2</v>
      </c>
      <c r="E3" s="14" t="n">
        <v>53.64</v>
      </c>
      <c r="F3" s="14" t="n">
        <v>49.34</v>
      </c>
      <c r="G3" s="17"/>
      <c r="H3" s="17"/>
    </row>
    <row r="4" customFormat="false" ht="15" hidden="false" customHeight="false" outlineLevel="0" collapsed="false">
      <c r="A4" s="4" t="s">
        <v>130</v>
      </c>
      <c r="B4" s="4" t="s">
        <v>61</v>
      </c>
      <c r="C4" s="10" t="n">
        <v>131053</v>
      </c>
      <c r="D4" s="18" t="n">
        <v>2</v>
      </c>
      <c r="E4" s="15" t="n">
        <v>51.87</v>
      </c>
      <c r="F4" s="15" t="n">
        <v>39.62</v>
      </c>
      <c r="G4" s="19"/>
      <c r="H4" s="19"/>
    </row>
    <row r="5" customFormat="false" ht="15" hidden="false" customHeight="false" outlineLevel="0" collapsed="false">
      <c r="A5" s="3" t="s">
        <v>130</v>
      </c>
      <c r="B5" s="3" t="s">
        <v>62</v>
      </c>
      <c r="C5" s="7" t="n">
        <v>122026</v>
      </c>
      <c r="D5" s="16" t="n">
        <v>3</v>
      </c>
      <c r="E5" s="14" t="n">
        <v>29.99</v>
      </c>
      <c r="F5" s="14" t="n">
        <v>19.87</v>
      </c>
      <c r="G5" s="17"/>
      <c r="H5" s="17"/>
    </row>
    <row r="6" customFormat="false" ht="15" hidden="false" customHeight="false" outlineLevel="0" collapsed="false">
      <c r="A6" s="4" t="s">
        <v>130</v>
      </c>
      <c r="B6" s="4" t="s">
        <v>63</v>
      </c>
      <c r="C6" s="10" t="n">
        <v>105108</v>
      </c>
      <c r="D6" s="18" t="n">
        <v>1</v>
      </c>
      <c r="E6" s="15" t="n">
        <v>60.1</v>
      </c>
      <c r="F6" s="15" t="n">
        <v>60.1</v>
      </c>
      <c r="G6" s="19"/>
      <c r="H6" s="19"/>
    </row>
    <row r="7" customFormat="false" ht="15" hidden="false" customHeight="false" outlineLevel="0" collapsed="false">
      <c r="A7" s="3" t="s">
        <v>131</v>
      </c>
      <c r="B7" s="3" t="s">
        <v>60</v>
      </c>
      <c r="C7" s="7" t="n">
        <v>365416</v>
      </c>
      <c r="D7" s="16" t="n">
        <v>2</v>
      </c>
      <c r="E7" s="14" t="n">
        <v>73.13</v>
      </c>
      <c r="F7" s="14" t="n">
        <v>64.33</v>
      </c>
      <c r="G7" s="17" t="n">
        <v>-0.002</v>
      </c>
      <c r="H7" s="17" t="n">
        <v>0.054</v>
      </c>
    </row>
    <row r="8" customFormat="false" ht="15" hidden="false" customHeight="false" outlineLevel="0" collapsed="false">
      <c r="A8" s="4" t="s">
        <v>131</v>
      </c>
      <c r="B8" s="4" t="s">
        <v>61</v>
      </c>
      <c r="C8" s="10" t="n">
        <v>131053</v>
      </c>
      <c r="D8" s="18" t="n">
        <v>2</v>
      </c>
      <c r="E8" s="15" t="n">
        <v>105.05</v>
      </c>
      <c r="F8" s="15" t="n">
        <v>88.4</v>
      </c>
      <c r="G8" s="19" t="n">
        <v>0.009</v>
      </c>
      <c r="H8" s="19" t="n">
        <v>-0.04</v>
      </c>
    </row>
    <row r="9" customFormat="false" ht="15" hidden="false" customHeight="false" outlineLevel="0" collapsed="false">
      <c r="A9" s="3" t="s">
        <v>131</v>
      </c>
      <c r="B9" s="3" t="s">
        <v>62</v>
      </c>
      <c r="C9" s="7" t="n">
        <v>122026</v>
      </c>
      <c r="D9" s="16" t="n">
        <v>3</v>
      </c>
      <c r="E9" s="14" t="n">
        <v>145.25</v>
      </c>
      <c r="F9" s="14" t="n">
        <v>119.6</v>
      </c>
      <c r="G9" s="17" t="n">
        <v>0.323</v>
      </c>
      <c r="H9" s="17" t="n">
        <v>0.057</v>
      </c>
    </row>
    <row r="10" customFormat="false" ht="15" hidden="false" customHeight="false" outlineLevel="0" collapsed="false">
      <c r="A10" s="4" t="s">
        <v>131</v>
      </c>
      <c r="B10" s="4" t="s">
        <v>63</v>
      </c>
      <c r="C10" s="10" t="n">
        <v>105108</v>
      </c>
      <c r="D10" s="18" t="n">
        <v>1</v>
      </c>
      <c r="E10" s="15" t="n">
        <v>62.64</v>
      </c>
      <c r="F10" s="15" t="n">
        <v>56.95</v>
      </c>
      <c r="G10" s="19"/>
      <c r="H10" s="19"/>
    </row>
    <row r="11" customFormat="false" ht="15" hidden="false" customHeight="false" outlineLevel="0" collapsed="false">
      <c r="A11" s="3" t="s">
        <v>132</v>
      </c>
      <c r="B11" s="3" t="s">
        <v>60</v>
      </c>
      <c r="C11" s="7" t="n">
        <v>365416</v>
      </c>
      <c r="D11" s="16" t="n">
        <v>2</v>
      </c>
      <c r="E11" s="14" t="n">
        <v>57.71</v>
      </c>
      <c r="F11" s="14" t="n">
        <v>54.61</v>
      </c>
      <c r="G11" s="17" t="n">
        <v>1</v>
      </c>
      <c r="H11" s="17" t="n">
        <v>1</v>
      </c>
    </row>
    <row r="12" customFormat="false" ht="15" hidden="false" customHeight="false" outlineLevel="0" collapsed="false">
      <c r="A12" s="4" t="s">
        <v>132</v>
      </c>
      <c r="B12" s="4" t="s">
        <v>61</v>
      </c>
      <c r="C12" s="10" t="n">
        <v>131053</v>
      </c>
      <c r="D12" s="18" t="n">
        <v>2</v>
      </c>
      <c r="E12" s="15" t="n">
        <v>76.15</v>
      </c>
      <c r="F12" s="15" t="n">
        <v>67.48</v>
      </c>
      <c r="G12" s="19" t="n">
        <v>-1</v>
      </c>
      <c r="H12" s="19" t="n">
        <v>-1</v>
      </c>
    </row>
    <row r="13" customFormat="false" ht="15" hidden="false" customHeight="false" outlineLevel="0" collapsed="false">
      <c r="A13" s="3" t="s">
        <v>132</v>
      </c>
      <c r="B13" s="3" t="s">
        <v>62</v>
      </c>
      <c r="C13" s="7" t="n">
        <v>122026</v>
      </c>
      <c r="D13" s="16" t="n">
        <v>3</v>
      </c>
      <c r="E13" s="14" t="n">
        <v>126.86</v>
      </c>
      <c r="F13" s="14" t="n">
        <v>102.28</v>
      </c>
      <c r="G13" s="17" t="n">
        <v>0.42</v>
      </c>
      <c r="H13" s="17" t="n">
        <v>0.066</v>
      </c>
    </row>
    <row r="14" customFormat="false" ht="15" hidden="false" customHeight="false" outlineLevel="0" collapsed="false">
      <c r="A14" s="4" t="s">
        <v>132</v>
      </c>
      <c r="B14" s="4" t="s">
        <v>63</v>
      </c>
      <c r="C14" s="10" t="n">
        <v>105108</v>
      </c>
      <c r="D14" s="18" t="n">
        <v>1</v>
      </c>
      <c r="E14" s="15" t="n">
        <v>57.4</v>
      </c>
      <c r="F14" s="15" t="n">
        <v>57.4</v>
      </c>
      <c r="G14" s="19"/>
      <c r="H14" s="19"/>
    </row>
    <row r="15" customFormat="false" ht="15" hidden="false" customHeight="false" outlineLevel="0" collapsed="false">
      <c r="A15" s="3" t="s">
        <v>133</v>
      </c>
      <c r="B15" s="3" t="s">
        <v>60</v>
      </c>
      <c r="C15" s="7" t="n">
        <v>365416</v>
      </c>
      <c r="D15" s="16" t="n">
        <v>2</v>
      </c>
      <c r="E15" s="14" t="n">
        <v>44.86</v>
      </c>
      <c r="F15" s="14" t="n">
        <v>40.31</v>
      </c>
      <c r="G15" s="17" t="n">
        <v>0.25</v>
      </c>
      <c r="H15" s="17" t="n">
        <v>0.237</v>
      </c>
    </row>
    <row r="16" customFormat="false" ht="15" hidden="false" customHeight="false" outlineLevel="0" collapsed="false">
      <c r="A16" s="4" t="s">
        <v>133</v>
      </c>
      <c r="B16" s="4" t="s">
        <v>61</v>
      </c>
      <c r="C16" s="10" t="n">
        <v>131053</v>
      </c>
      <c r="D16" s="18" t="n">
        <v>2</v>
      </c>
      <c r="E16" s="15" t="n">
        <v>75.86</v>
      </c>
      <c r="F16" s="15" t="n">
        <v>67.26</v>
      </c>
      <c r="G16" s="19" t="n">
        <v>0.04</v>
      </c>
      <c r="H16" s="19" t="n">
        <v>0.047</v>
      </c>
    </row>
    <row r="17" customFormat="false" ht="15" hidden="false" customHeight="false" outlineLevel="0" collapsed="false">
      <c r="A17" s="3" t="s">
        <v>133</v>
      </c>
      <c r="B17" s="3" t="s">
        <v>62</v>
      </c>
      <c r="C17" s="7" t="n">
        <v>122026</v>
      </c>
      <c r="D17" s="16" t="n">
        <v>3</v>
      </c>
      <c r="E17" s="14" t="n">
        <v>31.59</v>
      </c>
      <c r="F17" s="14" t="n">
        <v>25.51</v>
      </c>
      <c r="G17" s="17" t="n">
        <v>0.169</v>
      </c>
      <c r="H17" s="17" t="n">
        <v>0.048</v>
      </c>
    </row>
    <row r="18" customFormat="false" ht="15" hidden="false" customHeight="false" outlineLevel="0" collapsed="false">
      <c r="A18" s="4" t="s">
        <v>133</v>
      </c>
      <c r="B18" s="4" t="s">
        <v>63</v>
      </c>
      <c r="C18" s="10" t="n">
        <v>105108</v>
      </c>
      <c r="D18" s="18" t="n">
        <v>1</v>
      </c>
      <c r="E18" s="15" t="n">
        <v>49.96</v>
      </c>
      <c r="F18" s="15" t="n">
        <v>48.19</v>
      </c>
      <c r="G18" s="19"/>
      <c r="H18" s="19"/>
    </row>
    <row r="20" customFormat="false" ht="16.15" hidden="false" customHeight="false" outlineLevel="0" collapsed="false">
      <c r="A20" s="1" t="s">
        <v>134</v>
      </c>
    </row>
    <row r="21" customFormat="false" ht="15" hidden="false" customHeight="false" outlineLevel="0" collapsed="false">
      <c r="A21" s="2" t="s">
        <v>126</v>
      </c>
      <c r="B21" s="2" t="s">
        <v>111</v>
      </c>
      <c r="C21" s="2" t="s">
        <v>128</v>
      </c>
      <c r="D21" s="2" t="s">
        <v>129</v>
      </c>
      <c r="E21" s="2" t="s">
        <v>112</v>
      </c>
    </row>
    <row r="22" customFormat="false" ht="15" hidden="false" customHeight="false" outlineLevel="0" collapsed="false">
      <c r="A22" s="3" t="s">
        <v>130</v>
      </c>
      <c r="B22" s="14" t="n">
        <f aca="false">AVERAGEIF($A$3:$A$18,$A22,E$3:E$18)</f>
        <v>48.9</v>
      </c>
      <c r="C22" s="14" t="n">
        <f aca="false">AVERAGEIF($A$3:$A$18,$A22,F$3:F$18)</f>
        <v>42.2325</v>
      </c>
      <c r="D22" s="17"/>
      <c r="E22" s="17"/>
    </row>
    <row r="23" customFormat="false" ht="15" hidden="false" customHeight="false" outlineLevel="0" collapsed="false">
      <c r="A23" s="4" t="s">
        <v>131</v>
      </c>
      <c r="B23" s="15" t="n">
        <f aca="false">AVERAGEIF($A$3:$A$18,$A23,E$3:E$18)</f>
        <v>96.5175</v>
      </c>
      <c r="C23" s="15" t="n">
        <f aca="false">AVERAGEIF($A$3:$A$18,$A23,F$3:F$18)</f>
        <v>82.32</v>
      </c>
      <c r="D23" s="19" t="n">
        <f aca="false">AVERAGEIF($A$3:$A$18,$A23,G$3:G$18)</f>
        <v>0.11</v>
      </c>
      <c r="E23" s="19" t="n">
        <f aca="false">AVERAGEIF($A$3:$A$18,$A23,H$3:H$18)</f>
        <v>0.0236666666666667</v>
      </c>
    </row>
    <row r="24" customFormat="false" ht="15" hidden="false" customHeight="false" outlineLevel="0" collapsed="false">
      <c r="A24" s="3" t="s">
        <v>132</v>
      </c>
      <c r="B24" s="14" t="n">
        <f aca="false">AVERAGEIF($A$3:$A$18,$A24,E$3:E$18)</f>
        <v>79.53</v>
      </c>
      <c r="C24" s="14" t="n">
        <f aca="false">AVERAGEIF($A$3:$A$18,$A24,F$3:F$18)</f>
        <v>70.4425</v>
      </c>
      <c r="D24" s="17" t="n">
        <f aca="false">AVERAGEIF($A$3:$A$18,$A24,G$3:G$18)</f>
        <v>0.14</v>
      </c>
      <c r="E24" s="17" t="n">
        <f aca="false">AVERAGEIF($A$3:$A$18,$A24,H$3:H$18)</f>
        <v>0.022</v>
      </c>
    </row>
    <row r="25" customFormat="false" ht="15" hidden="false" customHeight="false" outlineLevel="0" collapsed="false">
      <c r="A25" s="4" t="s">
        <v>133</v>
      </c>
      <c r="B25" s="15" t="n">
        <f aca="false">AVERAGEIF($A$3:$A$18,$A25,E$3:E$18)</f>
        <v>50.5675</v>
      </c>
      <c r="C25" s="15" t="n">
        <f aca="false">AVERAGEIF($A$3:$A$18,$A25,F$3:F$18)</f>
        <v>45.3175</v>
      </c>
      <c r="D25" s="19" t="n">
        <f aca="false">AVERAGEIF($A$3:$A$18,$A25,G$3:G$18)</f>
        <v>0.153</v>
      </c>
      <c r="E25" s="19" t="n">
        <f aca="false">AVERAGEIF($A$3:$A$18,$A25,H$3:H$18)</f>
        <v>0.110666666666667</v>
      </c>
    </row>
    <row r="27" customFormat="false" ht="15" hidden="false" customHeight="false" outlineLevel="0" collapsed="false">
      <c r="A27" s="12" t="s">
        <v>135</v>
      </c>
    </row>
    <row r="28" customFormat="false" ht="15" hidden="false" customHeight="false" outlineLevel="0" collapsed="false">
      <c r="A28" s="12" t="s">
        <v>136</v>
      </c>
    </row>
    <row r="29" customFormat="false" ht="15" hidden="false" customHeight="false" outlineLevel="0" collapsed="false">
      <c r="A29" s="12" t="s">
        <v>137</v>
      </c>
    </row>
    <row r="30" customFormat="false" ht="16.15" hidden="false" customHeight="false" outlineLevel="0" collapsed="false">
      <c r="A30" s="1" t="s">
        <v>138</v>
      </c>
    </row>
    <row r="31" customFormat="false" ht="15" hidden="false" customHeight="false" outlineLevel="0" collapsed="false">
      <c r="A31" s="2" t="s">
        <v>122</v>
      </c>
      <c r="B31" s="2" t="s">
        <v>139</v>
      </c>
      <c r="C31" s="2" t="s">
        <v>140</v>
      </c>
      <c r="D31" s="2" t="s">
        <v>141</v>
      </c>
      <c r="E31" s="2" t="s">
        <v>142</v>
      </c>
    </row>
    <row r="32" customFormat="false" ht="15" hidden="false" customHeight="false" outlineLevel="0" collapsed="false">
      <c r="A32" s="3" t="s">
        <v>60</v>
      </c>
      <c r="B32" s="3" t="s">
        <v>143</v>
      </c>
      <c r="C32" s="3" t="s">
        <v>144</v>
      </c>
      <c r="D32" s="3" t="s">
        <v>145</v>
      </c>
      <c r="E32" s="3" t="s">
        <v>41</v>
      </c>
    </row>
    <row r="33" customFormat="false" ht="15" hidden="false" customHeight="false" outlineLevel="0" collapsed="false">
      <c r="A33" s="4" t="s">
        <v>61</v>
      </c>
      <c r="B33" s="4" t="s">
        <v>143</v>
      </c>
      <c r="C33" s="4" t="s">
        <v>146</v>
      </c>
      <c r="D33" s="4" t="s">
        <v>147</v>
      </c>
      <c r="E33" s="4" t="s">
        <v>148</v>
      </c>
    </row>
    <row r="34" customFormat="false" ht="15" hidden="false" customHeight="false" outlineLevel="0" collapsed="false">
      <c r="A34" s="3" t="s">
        <v>62</v>
      </c>
      <c r="B34" s="3" t="s">
        <v>143</v>
      </c>
      <c r="C34" s="3" t="s">
        <v>149</v>
      </c>
      <c r="D34" s="3" t="s">
        <v>150</v>
      </c>
      <c r="E34" s="3" t="s">
        <v>151</v>
      </c>
    </row>
    <row r="35" customFormat="false" ht="15" hidden="false" customHeight="false" outlineLevel="0" collapsed="false">
      <c r="A35" s="4" t="s">
        <v>63</v>
      </c>
      <c r="B35" s="4" t="s">
        <v>143</v>
      </c>
      <c r="C35" s="4" t="s">
        <v>152</v>
      </c>
      <c r="D35" s="4" t="s">
        <v>153</v>
      </c>
      <c r="E3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  <c r="B2" s="2" t="s">
        <v>156</v>
      </c>
    </row>
    <row r="3" customFormat="false" ht="15" hidden="false" customHeight="false" outlineLevel="0" collapsed="false">
      <c r="A3" s="3" t="s">
        <v>76</v>
      </c>
      <c r="B3" s="25" t="n">
        <v>0.2225</v>
      </c>
    </row>
    <row r="4" customFormat="false" ht="15" hidden="false" customHeight="false" outlineLevel="0" collapsed="false">
      <c r="A4" s="4" t="s">
        <v>74</v>
      </c>
      <c r="B4" s="26" t="n">
        <v>0.1306</v>
      </c>
    </row>
    <row r="5" customFormat="false" ht="15" hidden="false" customHeight="false" outlineLevel="0" collapsed="false">
      <c r="A5" s="3" t="s">
        <v>157</v>
      </c>
      <c r="B5" s="25" t="n">
        <v>0.0494</v>
      </c>
    </row>
    <row r="6" customFormat="false" ht="15" hidden="false" customHeight="false" outlineLevel="0" collapsed="false">
      <c r="A6" s="4" t="s">
        <v>73</v>
      </c>
      <c r="B6" s="26" t="n">
        <v>0.0427</v>
      </c>
    </row>
    <row r="7" customFormat="false" ht="15" hidden="false" customHeight="false" outlineLevel="0" collapsed="false">
      <c r="A7" s="3" t="s">
        <v>77</v>
      </c>
      <c r="B7" s="25" t="n">
        <v>0.0409</v>
      </c>
    </row>
    <row r="8" customFormat="false" ht="15" hidden="false" customHeight="false" outlineLevel="0" collapsed="false">
      <c r="A8" s="4" t="s">
        <v>158</v>
      </c>
      <c r="B8" s="26" t="n">
        <v>0.0156</v>
      </c>
    </row>
    <row r="9" customFormat="false" ht="15" hidden="false" customHeight="false" outlineLevel="0" collapsed="false">
      <c r="A9" s="3" t="s">
        <v>75</v>
      </c>
      <c r="B9" s="25" t="n">
        <v>0.0094</v>
      </c>
    </row>
    <row r="11" customFormat="false" ht="15" hidden="false" customHeight="false" outlineLevel="0" collapsed="false">
      <c r="A11" s="12" t="s">
        <v>159</v>
      </c>
    </row>
    <row r="12" customFormat="false" ht="16.15" hidden="false" customHeight="false" outlineLevel="0" collapsed="false">
      <c r="A12" s="1" t="s">
        <v>160</v>
      </c>
    </row>
    <row r="13" customFormat="false" ht="15" hidden="false" customHeight="false" outlineLevel="0" collapsed="false">
      <c r="A13" s="2" t="s">
        <v>161</v>
      </c>
      <c r="B13" s="2" t="s">
        <v>2</v>
      </c>
    </row>
    <row r="14" customFormat="false" ht="15" hidden="false" customHeight="false" outlineLevel="0" collapsed="false">
      <c r="A14" s="3" t="s">
        <v>162</v>
      </c>
      <c r="B14" s="25" t="n">
        <v>0.29</v>
      </c>
    </row>
    <row r="15" customFormat="false" ht="15" hidden="false" customHeight="false" outlineLevel="0" collapsed="false">
      <c r="A15" s="4" t="s">
        <v>163</v>
      </c>
      <c r="B15" s="26" t="n">
        <v>0.02</v>
      </c>
    </row>
    <row r="16" customFormat="false" ht="15" hidden="false" customHeight="false" outlineLevel="0" collapsed="false">
      <c r="A16" s="3" t="s">
        <v>164</v>
      </c>
      <c r="B16" s="25" t="n">
        <v>0.323</v>
      </c>
    </row>
    <row r="17" customFormat="false" ht="15" hidden="false" customHeight="false" outlineLevel="0" collapsed="false">
      <c r="A17" s="4" t="s">
        <v>165</v>
      </c>
      <c r="B17" s="26" t="n">
        <v>29.7</v>
      </c>
    </row>
    <row r="18" customFormat="false" ht="15" hidden="false" customHeight="false" outlineLevel="0" collapsed="false">
      <c r="A18" s="3" t="s">
        <v>166</v>
      </c>
      <c r="B18" s="25" t="n">
        <v>723601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  <c r="B2" s="2" t="s">
        <v>164</v>
      </c>
      <c r="C2" s="2" t="s">
        <v>169</v>
      </c>
      <c r="D2" s="2" t="s">
        <v>170</v>
      </c>
      <c r="E2" s="2" t="s">
        <v>171</v>
      </c>
      <c r="F2" s="2" t="s">
        <v>172</v>
      </c>
      <c r="G2" s="2" t="s">
        <v>173</v>
      </c>
    </row>
    <row r="3" customFormat="false" ht="15" hidden="false" customHeight="false" outlineLevel="0" collapsed="false">
      <c r="A3" s="3" t="s">
        <v>174</v>
      </c>
      <c r="B3" s="25" t="n">
        <v>0.184</v>
      </c>
      <c r="C3" s="17" t="n">
        <v>0.136</v>
      </c>
      <c r="D3" s="25" t="n">
        <v>0.04</v>
      </c>
      <c r="E3" s="14" t="n">
        <v>33.5</v>
      </c>
      <c r="F3" s="14" t="n">
        <v>5</v>
      </c>
      <c r="G3" s="25" t="n">
        <f aca="false">B3-C3</f>
        <v>0.048</v>
      </c>
    </row>
    <row r="4" customFormat="false" ht="15" hidden="false" customHeight="false" outlineLevel="0" collapsed="false">
      <c r="A4" s="4" t="s">
        <v>175</v>
      </c>
      <c r="B4" s="26" t="n">
        <v>0.703</v>
      </c>
      <c r="C4" s="19" t="n">
        <v>-0.059</v>
      </c>
      <c r="D4" s="26" t="n">
        <v>0.222</v>
      </c>
      <c r="E4" s="15" t="n">
        <v>36.5</v>
      </c>
      <c r="F4" s="15" t="n">
        <v>3.7</v>
      </c>
      <c r="G4" s="26" t="n">
        <f aca="false">B4-C4</f>
        <v>0.762</v>
      </c>
    </row>
    <row r="5" customFormat="false" ht="15" hidden="false" customHeight="false" outlineLevel="0" collapsed="false">
      <c r="A5" s="3" t="s">
        <v>20</v>
      </c>
      <c r="B5" s="25" t="n">
        <v>0.485</v>
      </c>
      <c r="C5" s="17" t="n">
        <v>0.166</v>
      </c>
      <c r="D5" s="25" t="n">
        <v>0.189</v>
      </c>
      <c r="E5" s="14" t="n">
        <v>32.4</v>
      </c>
      <c r="F5" s="14" t="n">
        <v>3.6</v>
      </c>
      <c r="G5" s="25" t="n">
        <f aca="false">B5-C5</f>
        <v>0.319</v>
      </c>
    </row>
    <row r="6" customFormat="false" ht="15" hidden="false" customHeight="false" outlineLevel="0" collapsed="false">
      <c r="A6" s="4" t="s">
        <v>176</v>
      </c>
      <c r="B6" s="26" t="n">
        <v>0.594</v>
      </c>
      <c r="C6" s="19" t="n">
        <v>0.147</v>
      </c>
      <c r="D6" s="26" t="n">
        <v>0.227</v>
      </c>
      <c r="E6" s="15" t="n">
        <v>32.6</v>
      </c>
      <c r="F6" s="15" t="n">
        <v>4.1</v>
      </c>
      <c r="G6" s="26" t="n">
        <f aca="false">B6-C6</f>
        <v>0.447</v>
      </c>
    </row>
    <row r="7" customFormat="false" ht="15" hidden="false" customHeight="false" outlineLevel="0" collapsed="false">
      <c r="A7" s="3" t="s">
        <v>177</v>
      </c>
      <c r="B7" s="25" t="n">
        <v>0.492</v>
      </c>
      <c r="C7" s="17" t="n">
        <v>0.088</v>
      </c>
      <c r="D7" s="25" t="n">
        <v>0.214</v>
      </c>
      <c r="E7" s="14" t="n">
        <v>33.7</v>
      </c>
      <c r="F7" s="14" t="n">
        <v>2.9</v>
      </c>
      <c r="G7" s="25" t="n">
        <f aca="false">B7-C7</f>
        <v>0.404</v>
      </c>
    </row>
    <row r="9" customFormat="false" ht="15" hidden="false" customHeight="false" outlineLevel="0" collapsed="false">
      <c r="A9" s="1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67</v>
      </c>
      <c r="B2" s="2" t="s">
        <v>34</v>
      </c>
      <c r="C2" s="2" t="s">
        <v>66</v>
      </c>
      <c r="D2" s="2" t="s">
        <v>180</v>
      </c>
      <c r="E2" s="2" t="s">
        <v>181</v>
      </c>
      <c r="F2" s="2" t="s">
        <v>182</v>
      </c>
      <c r="G2" s="2" t="s">
        <v>183</v>
      </c>
    </row>
    <row r="3" customFormat="false" ht="15" hidden="false" customHeight="false" outlineLevel="0" collapsed="false">
      <c r="A3" s="3" t="s">
        <v>68</v>
      </c>
      <c r="B3" s="7" t="n">
        <v>52992</v>
      </c>
      <c r="C3" s="14" t="n">
        <v>60</v>
      </c>
      <c r="D3" s="14" t="n">
        <v>115.7</v>
      </c>
      <c r="E3" s="14" t="n">
        <v>133</v>
      </c>
      <c r="F3" s="14" t="n">
        <v>155.7</v>
      </c>
      <c r="G3" s="27" t="n">
        <f aca="false">E3-C3</f>
        <v>73</v>
      </c>
    </row>
    <row r="4" customFormat="false" ht="15" hidden="false" customHeight="false" outlineLevel="0" collapsed="false">
      <c r="A4" s="4" t="s">
        <v>69</v>
      </c>
      <c r="B4" s="10" t="n">
        <v>16787</v>
      </c>
      <c r="C4" s="15" t="n">
        <v>111.5</v>
      </c>
      <c r="D4" s="15" t="n">
        <v>145</v>
      </c>
      <c r="E4" s="15" t="n">
        <v>154.6</v>
      </c>
      <c r="F4" s="15" t="n">
        <v>160.4</v>
      </c>
      <c r="G4" s="28" t="n">
        <f aca="false">E4-C4</f>
        <v>43.1</v>
      </c>
    </row>
    <row r="5" customFormat="false" ht="15" hidden="false" customHeight="false" outlineLevel="0" collapsed="false">
      <c r="A5" s="3" t="s">
        <v>70</v>
      </c>
      <c r="B5" s="7" t="n">
        <v>224091</v>
      </c>
      <c r="C5" s="14" t="n">
        <v>128.1</v>
      </c>
      <c r="D5" s="14" t="n">
        <v>126.7</v>
      </c>
      <c r="E5" s="14" t="n">
        <v>137.6</v>
      </c>
      <c r="F5" s="14" t="n">
        <v>164.3</v>
      </c>
      <c r="G5" s="27" t="n">
        <f aca="false">E5-C5</f>
        <v>9.5</v>
      </c>
    </row>
    <row r="6" customFormat="false" ht="15" hidden="false" customHeight="false" outlineLevel="0" collapsed="false">
      <c r="A6" s="4" t="s">
        <v>71</v>
      </c>
      <c r="B6" s="10" t="n">
        <v>424168</v>
      </c>
      <c r="C6" s="15" t="n">
        <v>180</v>
      </c>
      <c r="D6" s="15" t="n">
        <v>140.1</v>
      </c>
      <c r="E6" s="15" t="n">
        <v>167.3</v>
      </c>
      <c r="F6" s="15" t="n">
        <v>177.3</v>
      </c>
      <c r="G6" s="28" t="n">
        <f aca="false">E6-C6</f>
        <v>-12.7</v>
      </c>
    </row>
    <row r="8" customFormat="false" ht="16.15" hidden="false" customHeight="false" outlineLevel="0" collapsed="false">
      <c r="A8" s="1" t="s">
        <v>184</v>
      </c>
    </row>
    <row r="9" customFormat="false" ht="15" hidden="false" customHeight="false" outlineLevel="0" collapsed="false">
      <c r="A9" s="2" t="s">
        <v>185</v>
      </c>
      <c r="B9" s="2" t="s">
        <v>34</v>
      </c>
      <c r="C9" s="2" t="s">
        <v>186</v>
      </c>
      <c r="D9" s="2" t="s">
        <v>187</v>
      </c>
    </row>
    <row r="10" customFormat="false" ht="15" hidden="false" customHeight="false" outlineLevel="0" collapsed="false">
      <c r="A10" s="3" t="s">
        <v>188</v>
      </c>
      <c r="B10" s="7" t="n">
        <v>735674</v>
      </c>
      <c r="C10" s="14" t="n">
        <v>32.27</v>
      </c>
      <c r="D10" s="14" t="n">
        <v>29.8</v>
      </c>
    </row>
    <row r="11" customFormat="false" ht="15" hidden="false" customHeight="false" outlineLevel="0" collapsed="false">
      <c r="A11" s="4" t="s">
        <v>189</v>
      </c>
      <c r="B11" s="10" t="n">
        <v>150985</v>
      </c>
      <c r="C11" s="15" t="n">
        <v>38.32</v>
      </c>
      <c r="D11" s="15" t="n">
        <v>35.7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7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7" min="6" style="0" width="22"/>
  </cols>
  <sheetData>
    <row r="1" customFormat="false" ht="16.1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67</v>
      </c>
      <c r="B2" s="2" t="s">
        <v>66</v>
      </c>
      <c r="C2" s="2" t="s">
        <v>191</v>
      </c>
      <c r="D2" s="2" t="s">
        <v>34</v>
      </c>
      <c r="E2" s="2" t="s">
        <v>192</v>
      </c>
      <c r="F2" s="2" t="s">
        <v>193</v>
      </c>
      <c r="G2" s="2" t="s">
        <v>194</v>
      </c>
    </row>
    <row r="3" customFormat="false" ht="15" hidden="false" customHeight="false" outlineLevel="0" collapsed="false">
      <c r="A3" s="3" t="s">
        <v>70</v>
      </c>
      <c r="B3" s="14" t="n">
        <v>128.1</v>
      </c>
      <c r="C3" s="3" t="s">
        <v>195</v>
      </c>
      <c r="D3" s="7" t="n">
        <v>153</v>
      </c>
      <c r="E3" s="14" t="n">
        <v>237.149038176504</v>
      </c>
      <c r="F3" s="25" t="n">
        <v>0.421371709033684</v>
      </c>
      <c r="G3" s="25" t="n">
        <v>0.844</v>
      </c>
    </row>
    <row r="4" customFormat="false" ht="15" hidden="false" customHeight="false" outlineLevel="0" collapsed="false">
      <c r="A4" s="4" t="s">
        <v>70</v>
      </c>
      <c r="B4" s="15" t="n">
        <v>128.1</v>
      </c>
      <c r="C4" s="4" t="s">
        <v>196</v>
      </c>
      <c r="D4" s="10" t="n">
        <v>331</v>
      </c>
      <c r="E4" s="15" t="n">
        <v>263.852272427441</v>
      </c>
      <c r="F4" s="26" t="n">
        <v>0.395598425949618</v>
      </c>
      <c r="G4" s="26" t="n">
        <v>0.788</v>
      </c>
    </row>
    <row r="5" customFormat="false" ht="15" hidden="false" customHeight="false" outlineLevel="0" collapsed="false">
      <c r="A5" s="3" t="s">
        <v>70</v>
      </c>
      <c r="B5" s="14" t="n">
        <v>128.1</v>
      </c>
      <c r="C5" s="3" t="s">
        <v>197</v>
      </c>
      <c r="D5" s="7" t="n">
        <v>1439</v>
      </c>
      <c r="E5" s="14" t="n">
        <v>342.535483318491</v>
      </c>
      <c r="F5" s="25" t="n">
        <v>0.474310507926838</v>
      </c>
      <c r="G5" s="25" t="n">
        <v>0.624</v>
      </c>
    </row>
    <row r="6" customFormat="false" ht="15" hidden="false" customHeight="false" outlineLevel="0" collapsed="false">
      <c r="A6" s="4" t="s">
        <v>70</v>
      </c>
      <c r="B6" s="15" t="n">
        <v>128.1</v>
      </c>
      <c r="C6" s="4" t="s">
        <v>198</v>
      </c>
      <c r="D6" s="10" t="n">
        <v>3303</v>
      </c>
      <c r="E6" s="15" t="n">
        <v>332.586897951087</v>
      </c>
      <c r="F6" s="26" t="n">
        <v>0.413680474209057</v>
      </c>
      <c r="G6" s="26" t="n">
        <v>0.681</v>
      </c>
    </row>
    <row r="7" customFormat="false" ht="15" hidden="false" customHeight="false" outlineLevel="0" collapsed="false">
      <c r="A7" s="3" t="s">
        <v>70</v>
      </c>
      <c r="B7" s="14" t="n">
        <v>128.1</v>
      </c>
      <c r="C7" s="3" t="s">
        <v>199</v>
      </c>
      <c r="D7" s="7" t="n">
        <v>6204</v>
      </c>
      <c r="E7" s="14" t="n">
        <v>371.261248369199</v>
      </c>
      <c r="F7" s="25" t="n">
        <v>0.375096773281548</v>
      </c>
      <c r="G7" s="25" t="n">
        <v>0.646</v>
      </c>
    </row>
    <row r="8" customFormat="false" ht="15" hidden="false" customHeight="false" outlineLevel="0" collapsed="false">
      <c r="A8" s="4" t="s">
        <v>70</v>
      </c>
      <c r="B8" s="15" t="n">
        <v>128.1</v>
      </c>
      <c r="C8" s="4" t="s">
        <v>200</v>
      </c>
      <c r="D8" s="10" t="n">
        <v>4488</v>
      </c>
      <c r="E8" s="15" t="n">
        <v>359.26123899181</v>
      </c>
      <c r="F8" s="26" t="n">
        <v>0.358362457170613</v>
      </c>
      <c r="G8" s="26" t="n">
        <v>0.681</v>
      </c>
    </row>
    <row r="9" customFormat="false" ht="15" hidden="false" customHeight="false" outlineLevel="0" collapsed="false">
      <c r="A9" s="3" t="s">
        <v>70</v>
      </c>
      <c r="B9" s="14" t="n">
        <v>128.1</v>
      </c>
      <c r="C9" s="3" t="s">
        <v>201</v>
      </c>
      <c r="D9" s="7" t="n">
        <v>8306</v>
      </c>
      <c r="E9" s="14" t="n">
        <v>327.986036083822</v>
      </c>
      <c r="F9" s="25" t="n">
        <v>0.313833984063358</v>
      </c>
      <c r="G9" s="25" t="n">
        <v>0.817</v>
      </c>
    </row>
    <row r="10" customFormat="false" ht="15" hidden="false" customHeight="false" outlineLevel="0" collapsed="false">
      <c r="A10" s="4" t="s">
        <v>70</v>
      </c>
      <c r="B10" s="15" t="n">
        <v>128.1</v>
      </c>
      <c r="C10" s="4" t="s">
        <v>202</v>
      </c>
      <c r="D10" s="10" t="n">
        <v>7523</v>
      </c>
      <c r="E10" s="15" t="n">
        <v>325.614844207006</v>
      </c>
      <c r="F10" s="26" t="n">
        <v>0.299534802737164</v>
      </c>
      <c r="G10" s="26" t="n">
        <v>0.832</v>
      </c>
    </row>
    <row r="11" customFormat="false" ht="15" hidden="false" customHeight="false" outlineLevel="0" collapsed="false">
      <c r="A11" s="3" t="s">
        <v>70</v>
      </c>
      <c r="B11" s="14" t="n">
        <v>128.1</v>
      </c>
      <c r="C11" s="3" t="s">
        <v>203</v>
      </c>
      <c r="D11" s="7" t="n">
        <v>17670</v>
      </c>
      <c r="E11" s="14" t="n">
        <v>332.288926533558</v>
      </c>
      <c r="F11" s="25" t="n">
        <v>0.247739838365748</v>
      </c>
      <c r="G11" s="25" t="n">
        <v>0.881</v>
      </c>
    </row>
    <row r="12" customFormat="false" ht="15" hidden="false" customHeight="false" outlineLevel="0" collapsed="false">
      <c r="A12" s="4" t="s">
        <v>70</v>
      </c>
      <c r="B12" s="15" t="n">
        <v>128.1</v>
      </c>
      <c r="C12" s="4" t="s">
        <v>204</v>
      </c>
      <c r="D12" s="10" t="n">
        <v>17807</v>
      </c>
      <c r="E12" s="15" t="n">
        <v>323.793416204548</v>
      </c>
      <c r="F12" s="26" t="n">
        <v>0.24797376843445</v>
      </c>
      <c r="G12" s="26" t="n">
        <v>0.934</v>
      </c>
    </row>
    <row r="13" customFormat="false" ht="15" hidden="false" customHeight="false" outlineLevel="0" collapsed="false">
      <c r="A13" s="3" t="s">
        <v>70</v>
      </c>
      <c r="B13" s="14" t="n">
        <v>128.1</v>
      </c>
      <c r="C13" s="3" t="s">
        <v>205</v>
      </c>
      <c r="D13" s="7" t="n">
        <v>8826</v>
      </c>
      <c r="E13" s="14" t="n">
        <v>309.589047051587</v>
      </c>
      <c r="F13" s="25" t="n">
        <v>0.262267410701288</v>
      </c>
      <c r="G13" s="25" t="n">
        <v>0.998</v>
      </c>
    </row>
    <row r="14" customFormat="false" ht="15" hidden="false" customHeight="false" outlineLevel="0" collapsed="false">
      <c r="A14" s="4" t="s">
        <v>70</v>
      </c>
      <c r="B14" s="15" t="n">
        <v>128.1</v>
      </c>
      <c r="C14" s="4" t="s">
        <v>206</v>
      </c>
      <c r="D14" s="10" t="n">
        <v>17252</v>
      </c>
      <c r="E14" s="15" t="n">
        <v>305.891885977378</v>
      </c>
      <c r="F14" s="26" t="n">
        <v>0.244693269104311</v>
      </c>
      <c r="G14" s="26" t="n">
        <v>1.072</v>
      </c>
    </row>
    <row r="15" customFormat="false" ht="15" hidden="false" customHeight="false" outlineLevel="0" collapsed="false">
      <c r="A15" s="3" t="s">
        <v>70</v>
      </c>
      <c r="B15" s="14" t="n">
        <v>128.1</v>
      </c>
      <c r="C15" s="3" t="s">
        <v>207</v>
      </c>
      <c r="D15" s="7" t="n">
        <v>59398</v>
      </c>
      <c r="E15" s="14" t="n">
        <v>322.195476882075</v>
      </c>
      <c r="F15" s="25" t="n">
        <v>0.211716081126312</v>
      </c>
      <c r="G15" s="25" t="n">
        <v>1.068</v>
      </c>
    </row>
    <row r="16" customFormat="false" ht="15" hidden="false" customHeight="false" outlineLevel="0" collapsed="false">
      <c r="A16" s="4" t="s">
        <v>70</v>
      </c>
      <c r="B16" s="15" t="n">
        <v>128.1</v>
      </c>
      <c r="C16" s="4" t="s">
        <v>208</v>
      </c>
      <c r="D16" s="10" t="n">
        <v>71391</v>
      </c>
      <c r="E16" s="15" t="n">
        <v>348.548507137548</v>
      </c>
      <c r="F16" s="26" t="n">
        <v>0.194802604846406</v>
      </c>
      <c r="G16" s="26" t="n">
        <v>0.998</v>
      </c>
    </row>
    <row r="17" customFormat="false" ht="15" hidden="false" customHeight="false" outlineLevel="0" collapsed="false">
      <c r="A17" s="3" t="s">
        <v>69</v>
      </c>
      <c r="B17" s="14" t="n">
        <v>111.5</v>
      </c>
      <c r="C17" s="3" t="s">
        <v>195</v>
      </c>
      <c r="D17" s="7" t="n">
        <v>40</v>
      </c>
      <c r="E17" s="14" t="n">
        <v>490.002845904483</v>
      </c>
      <c r="F17" s="25" t="n">
        <v>0.324403964150271</v>
      </c>
      <c r="G17" s="25" t="n">
        <v>0.434</v>
      </c>
    </row>
    <row r="18" customFormat="false" ht="15" hidden="false" customHeight="false" outlineLevel="0" collapsed="false">
      <c r="A18" s="4" t="s">
        <v>69</v>
      </c>
      <c r="B18" s="15" t="n">
        <v>111.5</v>
      </c>
      <c r="C18" s="4" t="s">
        <v>196</v>
      </c>
      <c r="D18" s="10" t="n">
        <v>54</v>
      </c>
      <c r="E18" s="15" t="n">
        <v>557.009518832555</v>
      </c>
      <c r="F18" s="26" t="n">
        <v>0.346955435487386</v>
      </c>
      <c r="G18" s="26" t="n">
        <v>0.389</v>
      </c>
    </row>
    <row r="19" customFormat="false" ht="15" hidden="false" customHeight="false" outlineLevel="0" collapsed="false">
      <c r="A19" s="3" t="s">
        <v>69</v>
      </c>
      <c r="B19" s="14" t="n">
        <v>111.5</v>
      </c>
      <c r="C19" s="3" t="s">
        <v>197</v>
      </c>
      <c r="D19" s="7" t="n">
        <v>106</v>
      </c>
      <c r="E19" s="14" t="n">
        <v>617.815066800507</v>
      </c>
      <c r="F19" s="25" t="n">
        <v>0.341841031580977</v>
      </c>
      <c r="G19" s="25" t="n">
        <v>0.3715</v>
      </c>
    </row>
    <row r="20" customFormat="false" ht="15" hidden="false" customHeight="false" outlineLevel="0" collapsed="false">
      <c r="A20" s="4" t="s">
        <v>69</v>
      </c>
      <c r="B20" s="15" t="n">
        <v>111.5</v>
      </c>
      <c r="C20" s="4" t="s">
        <v>198</v>
      </c>
      <c r="D20" s="10" t="n">
        <v>76</v>
      </c>
      <c r="E20" s="15" t="n">
        <v>506.253719656951</v>
      </c>
      <c r="F20" s="26" t="n">
        <v>0.428586427145581</v>
      </c>
      <c r="G20" s="26" t="n">
        <v>0.4995</v>
      </c>
    </row>
    <row r="21" customFormat="false" ht="15" hidden="false" customHeight="false" outlineLevel="0" collapsed="false">
      <c r="A21" s="3" t="s">
        <v>69</v>
      </c>
      <c r="B21" s="14" t="n">
        <v>111.5</v>
      </c>
      <c r="C21" s="3" t="s">
        <v>199</v>
      </c>
      <c r="D21" s="7" t="n">
        <v>116</v>
      </c>
      <c r="E21" s="14" t="n">
        <v>390.702302862281</v>
      </c>
      <c r="F21" s="25" t="n">
        <v>0.272872915686073</v>
      </c>
      <c r="G21" s="25" t="n">
        <v>0.681</v>
      </c>
    </row>
    <row r="22" customFormat="false" ht="15" hidden="false" customHeight="false" outlineLevel="0" collapsed="false">
      <c r="A22" s="4" t="s">
        <v>69</v>
      </c>
      <c r="B22" s="15" t="n">
        <v>111.5</v>
      </c>
      <c r="C22" s="4" t="s">
        <v>200</v>
      </c>
      <c r="D22" s="10" t="n">
        <v>292</v>
      </c>
      <c r="E22" s="15" t="n">
        <v>400.704367313656</v>
      </c>
      <c r="F22" s="26" t="n">
        <v>0.311962405709972</v>
      </c>
      <c r="G22" s="26" t="n">
        <v>0.713</v>
      </c>
    </row>
    <row r="23" customFormat="false" ht="15" hidden="false" customHeight="false" outlineLevel="0" collapsed="false">
      <c r="A23" s="3" t="s">
        <v>69</v>
      </c>
      <c r="B23" s="14" t="n">
        <v>111.5</v>
      </c>
      <c r="C23" s="3" t="s">
        <v>201</v>
      </c>
      <c r="D23" s="7" t="n">
        <v>3030</v>
      </c>
      <c r="E23" s="14" t="n">
        <v>480.245389310267</v>
      </c>
      <c r="F23" s="25" t="n">
        <v>0.279693777433975</v>
      </c>
      <c r="G23" s="25" t="n">
        <v>0.599</v>
      </c>
    </row>
    <row r="24" customFormat="false" ht="15" hidden="false" customHeight="false" outlineLevel="0" collapsed="false">
      <c r="A24" s="4" t="s">
        <v>69</v>
      </c>
      <c r="B24" s="15" t="n">
        <v>111.5</v>
      </c>
      <c r="C24" s="4" t="s">
        <v>202</v>
      </c>
      <c r="D24" s="10" t="n">
        <v>2672</v>
      </c>
      <c r="E24" s="15" t="n">
        <v>471.621622585155</v>
      </c>
      <c r="F24" s="26" t="n">
        <v>0.26316126226668</v>
      </c>
      <c r="G24" s="26" t="n">
        <v>0.623</v>
      </c>
    </row>
    <row r="25" customFormat="false" ht="15" hidden="false" customHeight="false" outlineLevel="0" collapsed="false">
      <c r="A25" s="3" t="s">
        <v>69</v>
      </c>
      <c r="B25" s="14" t="n">
        <v>111.5</v>
      </c>
      <c r="C25" s="3" t="s">
        <v>203</v>
      </c>
      <c r="D25" s="7" t="n">
        <v>2282</v>
      </c>
      <c r="E25" s="14" t="n">
        <v>430.282771322748</v>
      </c>
      <c r="F25" s="25" t="n">
        <v>0.210061338770437</v>
      </c>
      <c r="G25" s="25" t="n">
        <v>0.713</v>
      </c>
    </row>
    <row r="26" customFormat="false" ht="15" hidden="false" customHeight="false" outlineLevel="0" collapsed="false">
      <c r="A26" s="4" t="s">
        <v>69</v>
      </c>
      <c r="B26" s="15" t="n">
        <v>111.5</v>
      </c>
      <c r="C26" s="4" t="s">
        <v>204</v>
      </c>
      <c r="D26" s="10" t="n">
        <v>1979</v>
      </c>
      <c r="E26" s="15" t="n">
        <v>432.658707257502</v>
      </c>
      <c r="F26" s="26" t="n">
        <v>0.19553590386331</v>
      </c>
      <c r="G26" s="26" t="n">
        <v>0.737</v>
      </c>
    </row>
    <row r="27" customFormat="false" ht="15" hidden="false" customHeight="false" outlineLevel="0" collapsed="false">
      <c r="A27" s="3" t="s">
        <v>69</v>
      </c>
      <c r="B27" s="14" t="n">
        <v>111.5</v>
      </c>
      <c r="C27" s="3" t="s">
        <v>205</v>
      </c>
      <c r="D27" s="7" t="n">
        <v>1986</v>
      </c>
      <c r="E27" s="14" t="n">
        <v>408.695485284908</v>
      </c>
      <c r="F27" s="25" t="n">
        <v>0.189134161189736</v>
      </c>
      <c r="G27" s="25" t="n">
        <v>0.831</v>
      </c>
    </row>
    <row r="28" customFormat="false" ht="15" hidden="false" customHeight="false" outlineLevel="0" collapsed="false">
      <c r="A28" s="4" t="s">
        <v>69</v>
      </c>
      <c r="B28" s="15" t="n">
        <v>111.5</v>
      </c>
      <c r="C28" s="4" t="s">
        <v>206</v>
      </c>
      <c r="D28" s="10" t="n">
        <v>3550</v>
      </c>
      <c r="E28" s="15" t="n">
        <v>478.759322570568</v>
      </c>
      <c r="F28" s="26" t="n">
        <v>0.175511683493541</v>
      </c>
      <c r="G28" s="26" t="n">
        <v>0.739</v>
      </c>
    </row>
    <row r="29" customFormat="false" ht="15" hidden="false" customHeight="false" outlineLevel="0" collapsed="false">
      <c r="A29" s="3" t="s">
        <v>69</v>
      </c>
      <c r="B29" s="14" t="n">
        <v>111.5</v>
      </c>
      <c r="C29" s="3" t="s">
        <v>207</v>
      </c>
      <c r="D29" s="7" t="n">
        <v>603</v>
      </c>
      <c r="E29" s="14" t="n">
        <v>454.142856536525</v>
      </c>
      <c r="F29" s="25" t="n">
        <v>0.189662936155716</v>
      </c>
      <c r="G29" s="25" t="n">
        <v>0.748</v>
      </c>
    </row>
    <row r="30" customFormat="false" ht="15" hidden="false" customHeight="false" outlineLevel="0" collapsed="false">
      <c r="A30" s="4" t="s">
        <v>71</v>
      </c>
      <c r="B30" s="15" t="n">
        <v>180</v>
      </c>
      <c r="C30" s="4" t="s">
        <v>195</v>
      </c>
      <c r="D30" s="10" t="n">
        <v>126</v>
      </c>
      <c r="E30" s="15" t="n">
        <v>234.369944504969</v>
      </c>
      <c r="F30" s="26" t="n">
        <v>0.42473313654433</v>
      </c>
      <c r="G30" s="26" t="n">
        <v>0.8795</v>
      </c>
    </row>
    <row r="31" customFormat="false" ht="15" hidden="false" customHeight="false" outlineLevel="0" collapsed="false">
      <c r="A31" s="3" t="s">
        <v>71</v>
      </c>
      <c r="B31" s="14" t="n">
        <v>180</v>
      </c>
      <c r="C31" s="3" t="s">
        <v>196</v>
      </c>
      <c r="D31" s="7" t="n">
        <v>282</v>
      </c>
      <c r="E31" s="14" t="n">
        <v>258.058823253413</v>
      </c>
      <c r="F31" s="25" t="n">
        <v>0.428103876319314</v>
      </c>
      <c r="G31" s="25" t="n">
        <v>0.8315</v>
      </c>
    </row>
    <row r="32" customFormat="false" ht="15" hidden="false" customHeight="false" outlineLevel="0" collapsed="false">
      <c r="A32" s="4" t="s">
        <v>71</v>
      </c>
      <c r="B32" s="15" t="n">
        <v>180</v>
      </c>
      <c r="C32" s="4" t="s">
        <v>197</v>
      </c>
      <c r="D32" s="10" t="n">
        <v>738</v>
      </c>
      <c r="E32" s="15" t="n">
        <v>346.205203757051</v>
      </c>
      <c r="F32" s="26" t="n">
        <v>0.597428034253832</v>
      </c>
      <c r="G32" s="26" t="n">
        <v>0.674</v>
      </c>
    </row>
    <row r="33" customFormat="false" ht="15" hidden="false" customHeight="false" outlineLevel="0" collapsed="false">
      <c r="A33" s="3" t="s">
        <v>71</v>
      </c>
      <c r="B33" s="14" t="n">
        <v>180</v>
      </c>
      <c r="C33" s="3" t="s">
        <v>198</v>
      </c>
      <c r="D33" s="7" t="n">
        <v>1542</v>
      </c>
      <c r="E33" s="14" t="n">
        <v>367.443491716508</v>
      </c>
      <c r="F33" s="25" t="n">
        <v>0.534254422933826</v>
      </c>
      <c r="G33" s="25" t="n">
        <v>0.65</v>
      </c>
    </row>
    <row r="34" customFormat="false" ht="15" hidden="false" customHeight="false" outlineLevel="0" collapsed="false">
      <c r="A34" s="4" t="s">
        <v>71</v>
      </c>
      <c r="B34" s="15" t="n">
        <v>180</v>
      </c>
      <c r="C34" s="4" t="s">
        <v>199</v>
      </c>
      <c r="D34" s="10" t="n">
        <v>7341</v>
      </c>
      <c r="E34" s="15" t="n">
        <v>444.381782084531</v>
      </c>
      <c r="F34" s="26" t="n">
        <v>0.369032113926087</v>
      </c>
      <c r="G34" s="26" t="n">
        <v>0.554</v>
      </c>
    </row>
    <row r="35" customFormat="false" ht="15" hidden="false" customHeight="false" outlineLevel="0" collapsed="false">
      <c r="A35" s="3" t="s">
        <v>71</v>
      </c>
      <c r="B35" s="14" t="n">
        <v>180</v>
      </c>
      <c r="C35" s="3" t="s">
        <v>200</v>
      </c>
      <c r="D35" s="7" t="n">
        <v>7554</v>
      </c>
      <c r="E35" s="14" t="n">
        <v>414.249439913248</v>
      </c>
      <c r="F35" s="25" t="n">
        <v>0.364801845435549</v>
      </c>
      <c r="G35" s="25" t="n">
        <v>0.599</v>
      </c>
    </row>
    <row r="36" customFormat="false" ht="15" hidden="false" customHeight="false" outlineLevel="0" collapsed="false">
      <c r="A36" s="4" t="s">
        <v>71</v>
      </c>
      <c r="B36" s="15" t="n">
        <v>180</v>
      </c>
      <c r="C36" s="4" t="s">
        <v>201</v>
      </c>
      <c r="D36" s="10" t="n">
        <v>11164</v>
      </c>
      <c r="E36" s="15" t="n">
        <v>371.956160266194</v>
      </c>
      <c r="F36" s="26" t="n">
        <v>0.285560228063442</v>
      </c>
      <c r="G36" s="26" t="n">
        <v>0.749</v>
      </c>
    </row>
    <row r="37" customFormat="false" ht="15" hidden="false" customHeight="false" outlineLevel="0" collapsed="false">
      <c r="A37" s="3" t="s">
        <v>71</v>
      </c>
      <c r="B37" s="14" t="n">
        <v>180</v>
      </c>
      <c r="C37" s="3" t="s">
        <v>202</v>
      </c>
      <c r="D37" s="7" t="n">
        <v>11833</v>
      </c>
      <c r="E37" s="14" t="n">
        <v>361.053475453137</v>
      </c>
      <c r="F37" s="25" t="n">
        <v>0.288288967090207</v>
      </c>
      <c r="G37" s="25" t="n">
        <v>0.789</v>
      </c>
    </row>
    <row r="38" customFormat="false" ht="15" hidden="false" customHeight="false" outlineLevel="0" collapsed="false">
      <c r="A38" s="4" t="s">
        <v>71</v>
      </c>
      <c r="B38" s="15" t="n">
        <v>180</v>
      </c>
      <c r="C38" s="4" t="s">
        <v>203</v>
      </c>
      <c r="D38" s="10" t="n">
        <v>30363</v>
      </c>
      <c r="E38" s="15" t="n">
        <v>375.914663009718</v>
      </c>
      <c r="F38" s="26" t="n">
        <v>0.267034079014971</v>
      </c>
      <c r="G38" s="26" t="n">
        <v>0.788</v>
      </c>
    </row>
    <row r="39" customFormat="false" ht="15" hidden="false" customHeight="false" outlineLevel="0" collapsed="false">
      <c r="A39" s="3" t="s">
        <v>71</v>
      </c>
      <c r="B39" s="14" t="n">
        <v>180</v>
      </c>
      <c r="C39" s="3" t="s">
        <v>204</v>
      </c>
      <c r="D39" s="7" t="n">
        <v>16372</v>
      </c>
      <c r="E39" s="14" t="n">
        <v>388.285713767309</v>
      </c>
      <c r="F39" s="25" t="n">
        <v>0.299879396218285</v>
      </c>
      <c r="G39" s="25" t="n">
        <v>0.788</v>
      </c>
    </row>
    <row r="40" customFormat="false" ht="15" hidden="false" customHeight="false" outlineLevel="0" collapsed="false">
      <c r="A40" s="4" t="s">
        <v>71</v>
      </c>
      <c r="B40" s="15" t="n">
        <v>180</v>
      </c>
      <c r="C40" s="4" t="s">
        <v>205</v>
      </c>
      <c r="D40" s="10" t="n">
        <v>10824</v>
      </c>
      <c r="E40" s="15" t="n">
        <v>330.755061252211</v>
      </c>
      <c r="F40" s="26" t="n">
        <v>0.29088489802897</v>
      </c>
      <c r="G40" s="26" t="n">
        <v>0.998</v>
      </c>
    </row>
    <row r="41" customFormat="false" ht="15" hidden="false" customHeight="false" outlineLevel="0" collapsed="false">
      <c r="A41" s="3" t="s">
        <v>71</v>
      </c>
      <c r="B41" s="14" t="n">
        <v>180</v>
      </c>
      <c r="C41" s="3" t="s">
        <v>206</v>
      </c>
      <c r="D41" s="7" t="n">
        <v>48445</v>
      </c>
      <c r="E41" s="14" t="n">
        <v>350.372548658026</v>
      </c>
      <c r="F41" s="25" t="n">
        <v>0.221604678793535</v>
      </c>
      <c r="G41" s="25" t="n">
        <v>0.967</v>
      </c>
    </row>
    <row r="42" customFormat="false" ht="15" hidden="false" customHeight="false" outlineLevel="0" collapsed="false">
      <c r="A42" s="4" t="s">
        <v>71</v>
      </c>
      <c r="B42" s="15" t="n">
        <v>180</v>
      </c>
      <c r="C42" s="4" t="s">
        <v>207</v>
      </c>
      <c r="D42" s="10" t="n">
        <v>66162</v>
      </c>
      <c r="E42" s="15" t="n">
        <v>337.243625574617</v>
      </c>
      <c r="F42" s="26" t="n">
        <v>0.24118899908423</v>
      </c>
      <c r="G42" s="26" t="n">
        <v>1.033</v>
      </c>
    </row>
    <row r="43" customFormat="false" ht="15" hidden="false" customHeight="false" outlineLevel="0" collapsed="false">
      <c r="A43" s="3" t="s">
        <v>71</v>
      </c>
      <c r="B43" s="14" t="n">
        <v>180</v>
      </c>
      <c r="C43" s="3" t="s">
        <v>208</v>
      </c>
      <c r="D43" s="7" t="n">
        <v>211422</v>
      </c>
      <c r="E43" s="14" t="n">
        <v>368.672637127576</v>
      </c>
      <c r="F43" s="25" t="n">
        <v>0.185374113646284</v>
      </c>
      <c r="G43" s="25" t="n">
        <v>0.969</v>
      </c>
    </row>
    <row r="44" customFormat="false" ht="15" hidden="false" customHeight="false" outlineLevel="0" collapsed="false">
      <c r="A44" s="4" t="s">
        <v>68</v>
      </c>
      <c r="B44" s="15" t="n">
        <v>60</v>
      </c>
      <c r="C44" s="4" t="s">
        <v>195</v>
      </c>
      <c r="D44" s="10" t="n">
        <v>34</v>
      </c>
      <c r="E44" s="15" t="n">
        <v>209.757971600888</v>
      </c>
      <c r="F44" s="26" t="n">
        <v>0.517428568469482</v>
      </c>
      <c r="G44" s="26" t="n">
        <v>1.07</v>
      </c>
    </row>
    <row r="45" customFormat="false" ht="15" hidden="false" customHeight="false" outlineLevel="0" collapsed="false">
      <c r="A45" s="3" t="s">
        <v>68</v>
      </c>
      <c r="B45" s="14" t="n">
        <v>60</v>
      </c>
      <c r="C45" s="3" t="s">
        <v>196</v>
      </c>
      <c r="D45" s="7" t="n">
        <v>54</v>
      </c>
      <c r="E45" s="14" t="n">
        <v>190.795721316447</v>
      </c>
      <c r="F45" s="25" t="n">
        <v>0.562164373559164</v>
      </c>
      <c r="G45" s="25" t="n">
        <v>1.153</v>
      </c>
    </row>
    <row r="46" customFormat="false" ht="15" hidden="false" customHeight="false" outlineLevel="0" collapsed="false">
      <c r="A46" s="4" t="s">
        <v>68</v>
      </c>
      <c r="B46" s="15" t="n">
        <v>60</v>
      </c>
      <c r="C46" s="4" t="s">
        <v>197</v>
      </c>
      <c r="D46" s="10" t="n">
        <v>410</v>
      </c>
      <c r="E46" s="15" t="n">
        <v>270.604217215766</v>
      </c>
      <c r="F46" s="26" t="n">
        <v>0.331366297071089</v>
      </c>
      <c r="G46" s="26" t="n">
        <v>0.817</v>
      </c>
    </row>
    <row r="47" customFormat="false" ht="15" hidden="false" customHeight="false" outlineLevel="0" collapsed="false">
      <c r="A47" s="3" t="s">
        <v>68</v>
      </c>
      <c r="B47" s="14" t="n">
        <v>60</v>
      </c>
      <c r="C47" s="3" t="s">
        <v>198</v>
      </c>
      <c r="D47" s="7" t="n">
        <v>729</v>
      </c>
      <c r="E47" s="14" t="n">
        <v>288.579800138928</v>
      </c>
      <c r="F47" s="25" t="n">
        <v>0.388493304716055</v>
      </c>
      <c r="G47" s="25" t="n">
        <v>0.788</v>
      </c>
    </row>
    <row r="48" customFormat="false" ht="15" hidden="false" customHeight="false" outlineLevel="0" collapsed="false">
      <c r="A48" s="4" t="s">
        <v>68</v>
      </c>
      <c r="B48" s="15" t="n">
        <v>60</v>
      </c>
      <c r="C48" s="4" t="s">
        <v>199</v>
      </c>
      <c r="D48" s="10" t="n">
        <v>971</v>
      </c>
      <c r="E48" s="15" t="n">
        <v>288.974477622999</v>
      </c>
      <c r="F48" s="26" t="n">
        <v>0.356738284292291</v>
      </c>
      <c r="G48" s="26" t="n">
        <v>0.832</v>
      </c>
    </row>
    <row r="49" customFormat="false" ht="15" hidden="false" customHeight="false" outlineLevel="0" collapsed="false">
      <c r="A49" s="3" t="s">
        <v>68</v>
      </c>
      <c r="B49" s="14" t="n">
        <v>60</v>
      </c>
      <c r="C49" s="3" t="s">
        <v>200</v>
      </c>
      <c r="D49" s="7" t="n">
        <v>980</v>
      </c>
      <c r="E49" s="14" t="n">
        <v>300.610011720505</v>
      </c>
      <c r="F49" s="25" t="n">
        <v>0.391610531514125</v>
      </c>
      <c r="G49" s="25" t="n">
        <v>0.832</v>
      </c>
    </row>
    <row r="50" customFormat="false" ht="15" hidden="false" customHeight="false" outlineLevel="0" collapsed="false">
      <c r="A50" s="4" t="s">
        <v>68</v>
      </c>
      <c r="B50" s="15" t="n">
        <v>60</v>
      </c>
      <c r="C50" s="4" t="s">
        <v>201</v>
      </c>
      <c r="D50" s="10" t="n">
        <v>736</v>
      </c>
      <c r="E50" s="15" t="n">
        <v>277.0931323157</v>
      </c>
      <c r="F50" s="26" t="n">
        <v>0.388379325521793</v>
      </c>
      <c r="G50" s="26" t="n">
        <v>0.936</v>
      </c>
    </row>
    <row r="51" customFormat="false" ht="15" hidden="false" customHeight="false" outlineLevel="0" collapsed="false">
      <c r="A51" s="3" t="s">
        <v>68</v>
      </c>
      <c r="B51" s="14" t="n">
        <v>60</v>
      </c>
      <c r="C51" s="3" t="s">
        <v>202</v>
      </c>
      <c r="D51" s="7" t="n">
        <v>789</v>
      </c>
      <c r="E51" s="14" t="n">
        <v>257.340504904265</v>
      </c>
      <c r="F51" s="25" t="n">
        <v>0.414490242049583</v>
      </c>
      <c r="G51" s="25" t="n">
        <v>1.069</v>
      </c>
    </row>
    <row r="52" customFormat="false" ht="15" hidden="false" customHeight="false" outlineLevel="0" collapsed="false">
      <c r="A52" s="4" t="s">
        <v>68</v>
      </c>
      <c r="B52" s="15" t="n">
        <v>60</v>
      </c>
      <c r="C52" s="4" t="s">
        <v>203</v>
      </c>
      <c r="D52" s="10" t="n">
        <v>4921</v>
      </c>
      <c r="E52" s="15" t="n">
        <v>305.811440354013</v>
      </c>
      <c r="F52" s="26" t="n">
        <v>0.284658189345987</v>
      </c>
      <c r="G52" s="26" t="n">
        <v>0.944</v>
      </c>
    </row>
    <row r="53" customFormat="false" ht="15" hidden="false" customHeight="false" outlineLevel="0" collapsed="false">
      <c r="A53" s="3" t="s">
        <v>68</v>
      </c>
      <c r="B53" s="14" t="n">
        <v>60</v>
      </c>
      <c r="C53" s="3" t="s">
        <v>204</v>
      </c>
      <c r="D53" s="7" t="n">
        <v>3689</v>
      </c>
      <c r="E53" s="14" t="n">
        <v>313.372933560565</v>
      </c>
      <c r="F53" s="25" t="n">
        <v>0.277362949989555</v>
      </c>
      <c r="G53" s="25" t="n">
        <v>0.936</v>
      </c>
    </row>
    <row r="54" customFormat="false" ht="15" hidden="false" customHeight="false" outlineLevel="0" collapsed="false">
      <c r="A54" s="4" t="s">
        <v>68</v>
      </c>
      <c r="B54" s="15" t="n">
        <v>60</v>
      </c>
      <c r="C54" s="4" t="s">
        <v>205</v>
      </c>
      <c r="D54" s="10" t="n">
        <v>1230</v>
      </c>
      <c r="E54" s="15" t="n">
        <v>223.615416028833</v>
      </c>
      <c r="F54" s="26" t="n">
        <v>0.320460196010326</v>
      </c>
      <c r="G54" s="26" t="n">
        <v>1.408</v>
      </c>
    </row>
    <row r="55" customFormat="false" ht="15" hidden="false" customHeight="false" outlineLevel="0" collapsed="false">
      <c r="A55" s="3" t="s">
        <v>68</v>
      </c>
      <c r="B55" s="14" t="n">
        <v>60</v>
      </c>
      <c r="C55" s="3" t="s">
        <v>206</v>
      </c>
      <c r="D55" s="7" t="n">
        <v>6302</v>
      </c>
      <c r="E55" s="14" t="n">
        <v>283.289930309644</v>
      </c>
      <c r="F55" s="25" t="n">
        <v>0.242946629747541</v>
      </c>
      <c r="G55" s="25" t="n">
        <v>1.152</v>
      </c>
    </row>
    <row r="56" customFormat="false" ht="15" hidden="false" customHeight="false" outlineLevel="0" collapsed="false">
      <c r="A56" s="4" t="s">
        <v>68</v>
      </c>
      <c r="B56" s="15" t="n">
        <v>60</v>
      </c>
      <c r="C56" s="4" t="s">
        <v>207</v>
      </c>
      <c r="D56" s="10" t="n">
        <v>7892</v>
      </c>
      <c r="E56" s="15" t="n">
        <v>274.58134357701</v>
      </c>
      <c r="F56" s="26" t="n">
        <v>0.259383834173968</v>
      </c>
      <c r="G56" s="26" t="n">
        <v>1.233</v>
      </c>
    </row>
    <row r="57" customFormat="false" ht="15" hidden="false" customHeight="false" outlineLevel="0" collapsed="false">
      <c r="A57" s="3" t="s">
        <v>68</v>
      </c>
      <c r="B57" s="14" t="n">
        <v>60</v>
      </c>
      <c r="C57" s="3" t="s">
        <v>208</v>
      </c>
      <c r="D57" s="7" t="n">
        <v>24255</v>
      </c>
      <c r="E57" s="14" t="n">
        <v>309.786025930318</v>
      </c>
      <c r="F57" s="25" t="n">
        <v>0.182065821735189</v>
      </c>
      <c r="G57" s="25" t="n">
        <v>1.109</v>
      </c>
    </row>
    <row r="59" customFormat="false" ht="16.15" hidden="false" customHeight="false" outlineLevel="0" collapsed="false">
      <c r="A59" s="1" t="s">
        <v>209</v>
      </c>
    </row>
    <row r="60" customFormat="false" ht="15" hidden="false" customHeight="false" outlineLevel="0" collapsed="false">
      <c r="A60" s="2" t="s">
        <v>210</v>
      </c>
      <c r="B60" s="2" t="s">
        <v>211</v>
      </c>
    </row>
    <row r="61" customFormat="false" ht="15" hidden="false" customHeight="false" outlineLevel="0" collapsed="false">
      <c r="A61" s="3" t="s">
        <v>212</v>
      </c>
      <c r="B61" s="17" t="n">
        <v>0.203</v>
      </c>
    </row>
    <row r="62" customFormat="false" ht="15" hidden="false" customHeight="false" outlineLevel="0" collapsed="false">
      <c r="A62" s="4" t="s">
        <v>158</v>
      </c>
      <c r="B62" s="19" t="n">
        <v>-0.904</v>
      </c>
    </row>
    <row r="63" customFormat="false" ht="15" hidden="false" customHeight="false" outlineLevel="0" collapsed="false">
      <c r="A63" s="3" t="s">
        <v>73</v>
      </c>
      <c r="B63" s="17" t="n">
        <v>0.071</v>
      </c>
    </row>
    <row r="65" customFormat="false" ht="15" hidden="false" customHeight="false" outlineLevel="0" collapsed="false">
      <c r="A65" s="1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19"/>
  </cols>
  <sheetData>
    <row r="1" customFormat="false" ht="16.1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  <c r="B2" s="2" t="s">
        <v>96</v>
      </c>
      <c r="C2" s="2" t="s">
        <v>216</v>
      </c>
      <c r="D2" s="2" t="s">
        <v>217</v>
      </c>
      <c r="E2" s="2" t="s">
        <v>218</v>
      </c>
      <c r="F2" s="2" t="s">
        <v>219</v>
      </c>
      <c r="G2" s="2" t="s">
        <v>220</v>
      </c>
    </row>
    <row r="3" customFormat="false" ht="15" hidden="false" customHeight="false" outlineLevel="0" collapsed="false">
      <c r="A3" s="6" t="n">
        <v>0.5</v>
      </c>
      <c r="B3" s="7" t="n">
        <v>297</v>
      </c>
      <c r="C3" s="7" t="n">
        <v>415</v>
      </c>
      <c r="D3" s="20" t="n">
        <v>0.521885521885522</v>
      </c>
      <c r="E3" s="20" t="n">
        <v>0.407228915662651</v>
      </c>
      <c r="F3" s="20" t="n">
        <v>0.543097643097643</v>
      </c>
      <c r="G3" s="29" t="n">
        <f aca="false">D3-F3</f>
        <v>-0.0212121212121211</v>
      </c>
    </row>
    <row r="4" customFormat="false" ht="15" hidden="false" customHeight="false" outlineLevel="0" collapsed="false">
      <c r="A4" s="9" t="n">
        <v>0.75</v>
      </c>
      <c r="B4" s="10" t="n">
        <v>773</v>
      </c>
      <c r="C4" s="10" t="n">
        <v>415</v>
      </c>
      <c r="D4" s="21" t="n">
        <v>0.580853816300129</v>
      </c>
      <c r="E4" s="21" t="n">
        <v>0.727710843373494</v>
      </c>
      <c r="F4" s="21" t="n">
        <v>0.519879258300992</v>
      </c>
      <c r="G4" s="30" t="n">
        <f aca="false">D4-F4</f>
        <v>0.0609745579991374</v>
      </c>
    </row>
    <row r="5" customFormat="false" ht="15" hidden="false" customHeight="false" outlineLevel="0" collapsed="false">
      <c r="A5" s="6" t="n">
        <v>1</v>
      </c>
      <c r="B5" s="7" t="n">
        <v>1320</v>
      </c>
      <c r="C5" s="7" t="n">
        <v>415</v>
      </c>
      <c r="D5" s="20" t="n">
        <v>0.58030303030303</v>
      </c>
      <c r="E5" s="20" t="n">
        <v>0.927710843373494</v>
      </c>
      <c r="F5" s="20" t="n">
        <v>0.526414141414141</v>
      </c>
      <c r="G5" s="29" t="n">
        <f aca="false">D5-F5</f>
        <v>0.0538888888888889</v>
      </c>
    </row>
    <row r="6" customFormat="false" ht="15" hidden="false" customHeight="false" outlineLevel="0" collapsed="false">
      <c r="A6" s="9" t="n">
        <v>1.25</v>
      </c>
      <c r="B6" s="10" t="n">
        <v>1200</v>
      </c>
      <c r="C6" s="10" t="n">
        <v>415</v>
      </c>
      <c r="D6" s="21" t="n">
        <v>0.514166666666667</v>
      </c>
      <c r="E6" s="21" t="n">
        <v>0.857831325301205</v>
      </c>
      <c r="F6" s="21" t="n">
        <v>0.525722222222222</v>
      </c>
      <c r="G6" s="30" t="n">
        <f aca="false">D6-F6</f>
        <v>-0.0115555555555555</v>
      </c>
    </row>
    <row r="7" customFormat="false" ht="15" hidden="false" customHeight="false" outlineLevel="0" collapsed="false">
      <c r="A7" s="6" t="n">
        <v>1.5</v>
      </c>
      <c r="B7" s="7" t="n">
        <v>893</v>
      </c>
      <c r="C7" s="7" t="n">
        <v>415</v>
      </c>
      <c r="D7" s="20" t="n">
        <v>0.516237402015678</v>
      </c>
      <c r="E7" s="20" t="n">
        <v>0.734939759036145</v>
      </c>
      <c r="F7" s="20" t="n">
        <v>0.522471071295259</v>
      </c>
      <c r="G7" s="29" t="n">
        <f aca="false">D7-F7</f>
        <v>-0.00623366927958191</v>
      </c>
    </row>
    <row r="8" customFormat="false" ht="15" hidden="false" customHeight="false" outlineLevel="0" collapsed="false">
      <c r="A8" s="9" t="n">
        <v>2</v>
      </c>
      <c r="B8" s="10" t="n">
        <v>505</v>
      </c>
      <c r="C8" s="10" t="n">
        <v>415</v>
      </c>
      <c r="D8" s="21" t="n">
        <v>0.524752475247525</v>
      </c>
      <c r="E8" s="21" t="n">
        <v>0.563855421686747</v>
      </c>
      <c r="F8" s="21" t="n">
        <v>0.52019801980198</v>
      </c>
      <c r="G8" s="30" t="n">
        <f aca="false">D8-F8</f>
        <v>0.00455445544554456</v>
      </c>
    </row>
    <row r="9" customFormat="false" ht="15" hidden="false" customHeight="false" outlineLevel="0" collapsed="false">
      <c r="A9" s="6" t="n">
        <v>2.5</v>
      </c>
      <c r="B9" s="7" t="n">
        <v>316</v>
      </c>
      <c r="C9" s="7" t="n">
        <v>415</v>
      </c>
      <c r="D9" s="20" t="n">
        <v>0.541139240506329</v>
      </c>
      <c r="E9" s="20" t="n">
        <v>0.414457831325301</v>
      </c>
      <c r="F9" s="20" t="n">
        <v>0.517405063291139</v>
      </c>
      <c r="G9" s="29" t="n">
        <f aca="false">D9-F9</f>
        <v>0.02373417721519</v>
      </c>
    </row>
    <row r="10" customFormat="false" ht="15" hidden="false" customHeight="false" outlineLevel="0" collapsed="false">
      <c r="A10" s="9" t="n">
        <v>3</v>
      </c>
      <c r="B10" s="10" t="n">
        <v>178</v>
      </c>
      <c r="C10" s="10" t="n">
        <v>415</v>
      </c>
      <c r="D10" s="21" t="n">
        <v>0.443820224719101</v>
      </c>
      <c r="E10" s="21" t="n">
        <v>0.214457831325301</v>
      </c>
      <c r="F10" s="21" t="n">
        <v>0.498689138576779</v>
      </c>
      <c r="G10" s="30" t="n">
        <f aca="false">D10-F10</f>
        <v>-0.0548689138576779</v>
      </c>
    </row>
    <row r="12" customFormat="false" ht="16.15" hidden="false" customHeight="false" outlineLevel="0" collapsed="false">
      <c r="A12" s="1" t="s">
        <v>221</v>
      </c>
    </row>
    <row r="13" customFormat="false" ht="15" hidden="false" customHeight="false" outlineLevel="0" collapsed="false">
      <c r="A13" s="2" t="s">
        <v>222</v>
      </c>
      <c r="B13" s="2" t="s">
        <v>223</v>
      </c>
    </row>
    <row r="14" customFormat="false" ht="15" hidden="false" customHeight="false" outlineLevel="0" collapsed="false">
      <c r="A14" s="3" t="s">
        <v>96</v>
      </c>
      <c r="B14" s="6" t="n">
        <v>1320</v>
      </c>
    </row>
    <row r="15" customFormat="false" ht="15" hidden="false" customHeight="false" outlineLevel="0" collapsed="false">
      <c r="A15" s="31" t="s">
        <v>118</v>
      </c>
      <c r="B15" s="32" t="n">
        <v>-0.0758083333333332</v>
      </c>
    </row>
    <row r="16" customFormat="false" ht="15" hidden="false" customHeight="false" outlineLevel="0" collapsed="false">
      <c r="A16" s="33" t="s">
        <v>224</v>
      </c>
      <c r="B16" s="34" t="n">
        <v>0.152</v>
      </c>
    </row>
    <row r="17" customFormat="false" ht="15" hidden="false" customHeight="false" outlineLevel="0" collapsed="false">
      <c r="A17" s="4" t="s">
        <v>119</v>
      </c>
      <c r="B17" s="9" t="n">
        <v>5.46420883724733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21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  <c r="B2" s="2" t="s">
        <v>67</v>
      </c>
      <c r="C2" s="2" t="s">
        <v>227</v>
      </c>
      <c r="D2" s="2" t="s">
        <v>228</v>
      </c>
      <c r="E2" s="2" t="s">
        <v>229</v>
      </c>
      <c r="F2" s="2" t="s">
        <v>230</v>
      </c>
      <c r="G2" s="2" t="s">
        <v>231</v>
      </c>
    </row>
    <row r="3" customFormat="false" ht="15" hidden="false" customHeight="false" outlineLevel="0" collapsed="false">
      <c r="A3" s="3" t="s">
        <v>232</v>
      </c>
      <c r="B3" s="3" t="s">
        <v>233</v>
      </c>
      <c r="C3" s="3" t="s">
        <v>234</v>
      </c>
      <c r="D3" s="14" t="n">
        <v>164.932209858122</v>
      </c>
      <c r="E3" s="25" t="n">
        <v>0.624956799262139</v>
      </c>
      <c r="F3" s="7" t="n">
        <v>4385</v>
      </c>
      <c r="G3" s="7" t="n">
        <v>408718</v>
      </c>
    </row>
    <row r="4" customFormat="false" ht="15" hidden="false" customHeight="false" outlineLevel="0" collapsed="false">
      <c r="A4" s="4" t="s">
        <v>235</v>
      </c>
      <c r="B4" s="4" t="s">
        <v>236</v>
      </c>
      <c r="C4" s="4" t="s">
        <v>234</v>
      </c>
      <c r="D4" s="15" t="n">
        <v>138.496561143358</v>
      </c>
      <c r="E4" s="26" t="n">
        <v>0.701199959240213</v>
      </c>
      <c r="F4" s="10" t="n">
        <v>2184</v>
      </c>
      <c r="G4" s="10" t="n">
        <v>202651</v>
      </c>
    </row>
    <row r="5" customFormat="false" ht="15" hidden="false" customHeight="false" outlineLevel="0" collapsed="false">
      <c r="A5" s="3" t="s">
        <v>237</v>
      </c>
      <c r="B5" s="3" t="s">
        <v>238</v>
      </c>
      <c r="C5" s="3" t="s">
        <v>234</v>
      </c>
      <c r="D5" s="14" t="n">
        <v>134.789098647061</v>
      </c>
      <c r="E5" s="25" t="n">
        <v>0.873490925570658</v>
      </c>
      <c r="F5" s="7" t="n">
        <v>710</v>
      </c>
      <c r="G5" s="7" t="n">
        <v>65848</v>
      </c>
    </row>
    <row r="6" customFormat="false" ht="15" hidden="false" customHeight="false" outlineLevel="0" collapsed="false">
      <c r="A6" s="4" t="s">
        <v>239</v>
      </c>
      <c r="B6" s="4" t="s">
        <v>233</v>
      </c>
      <c r="C6" s="4" t="s">
        <v>234</v>
      </c>
      <c r="D6" s="15" t="n">
        <v>154.123768904038</v>
      </c>
      <c r="E6" s="26" t="n">
        <v>1.20733220807777</v>
      </c>
      <c r="F6" s="10" t="n">
        <v>523</v>
      </c>
      <c r="G6" s="10" t="n">
        <v>46990</v>
      </c>
    </row>
    <row r="7" customFormat="false" ht="15" hidden="false" customHeight="false" outlineLevel="0" collapsed="false">
      <c r="A7" s="3" t="s">
        <v>240</v>
      </c>
      <c r="B7" s="3" t="s">
        <v>233</v>
      </c>
      <c r="C7" s="3" t="s">
        <v>234</v>
      </c>
      <c r="D7" s="14" t="n">
        <v>137.155726282</v>
      </c>
      <c r="E7" s="25" t="n">
        <v>0.619054363908438</v>
      </c>
      <c r="F7" s="7" t="n">
        <v>354</v>
      </c>
      <c r="G7" s="7" t="n">
        <v>33430</v>
      </c>
    </row>
    <row r="8" customFormat="false" ht="15" hidden="false" customHeight="false" outlineLevel="0" collapsed="false">
      <c r="A8" s="4" t="s">
        <v>241</v>
      </c>
      <c r="B8" s="4" t="s">
        <v>236</v>
      </c>
      <c r="C8" s="4" t="s">
        <v>242</v>
      </c>
      <c r="D8" s="15" t="n">
        <v>139.393544557154</v>
      </c>
      <c r="E8" s="26" t="n">
        <v>0.729862070803117</v>
      </c>
      <c r="F8" s="10" t="n">
        <v>239</v>
      </c>
      <c r="G8" s="10" t="n">
        <v>21958</v>
      </c>
    </row>
    <row r="9" customFormat="false" ht="15" hidden="false" customHeight="false" outlineLevel="0" collapsed="false">
      <c r="A9" s="3" t="s">
        <v>243</v>
      </c>
      <c r="B9" s="3" t="s">
        <v>244</v>
      </c>
      <c r="C9" s="3" t="s">
        <v>234</v>
      </c>
      <c r="D9" s="14" t="n">
        <v>153.727676276695</v>
      </c>
      <c r="E9" s="25" t="n">
        <v>0.633670922155736</v>
      </c>
      <c r="F9" s="7" t="n">
        <v>203</v>
      </c>
      <c r="G9" s="7" t="n">
        <v>18616</v>
      </c>
    </row>
    <row r="10" customFormat="false" ht="15" hidden="false" customHeight="false" outlineLevel="0" collapsed="false">
      <c r="A10" s="4" t="s">
        <v>245</v>
      </c>
      <c r="B10" s="4" t="s">
        <v>236</v>
      </c>
      <c r="C10" s="4" t="s">
        <v>234</v>
      </c>
      <c r="D10" s="15" t="n">
        <v>168.41475157952</v>
      </c>
      <c r="E10" s="26" t="n">
        <v>0.562630038147136</v>
      </c>
      <c r="F10" s="10" t="n">
        <v>180</v>
      </c>
      <c r="G10" s="10" t="n">
        <v>15951</v>
      </c>
    </row>
    <row r="11" customFormat="false" ht="15" hidden="false" customHeight="false" outlineLevel="0" collapsed="false">
      <c r="A11" s="3" t="s">
        <v>246</v>
      </c>
      <c r="B11" s="3" t="s">
        <v>236</v>
      </c>
      <c r="C11" s="3" t="s">
        <v>234</v>
      </c>
      <c r="D11" s="14" t="n">
        <v>144.172700603197</v>
      </c>
      <c r="E11" s="25" t="n">
        <v>1.25329485213606</v>
      </c>
      <c r="F11" s="7" t="n">
        <v>143</v>
      </c>
      <c r="G11" s="7" t="n">
        <v>12871</v>
      </c>
    </row>
    <row r="12" customFormat="false" ht="15" hidden="false" customHeight="false" outlineLevel="0" collapsed="false">
      <c r="A12" s="4" t="s">
        <v>247</v>
      </c>
      <c r="B12" s="4" t="s">
        <v>236</v>
      </c>
      <c r="C12" s="4" t="s">
        <v>248</v>
      </c>
      <c r="D12" s="15" t="n">
        <v>159.684160752595</v>
      </c>
      <c r="E12" s="26" t="n">
        <v>0.654783033634757</v>
      </c>
      <c r="F12" s="10" t="n">
        <v>107</v>
      </c>
      <c r="G12" s="10" t="n">
        <v>8787</v>
      </c>
    </row>
    <row r="13" customFormat="false" ht="15" hidden="false" customHeight="false" outlineLevel="0" collapsed="false">
      <c r="A13" s="3" t="s">
        <v>249</v>
      </c>
      <c r="B13" s="3" t="s">
        <v>233</v>
      </c>
      <c r="C13" s="3" t="s">
        <v>248</v>
      </c>
      <c r="D13" s="14" t="n">
        <v>167.800529418651</v>
      </c>
      <c r="E13" s="25" t="n">
        <v>0.627988751299209</v>
      </c>
      <c r="F13" s="7" t="n">
        <v>58</v>
      </c>
      <c r="G13" s="7" t="n">
        <v>5010</v>
      </c>
    </row>
    <row r="14" customFormat="false" ht="15" hidden="false" customHeight="false" outlineLevel="0" collapsed="false">
      <c r="A14" s="4" t="s">
        <v>250</v>
      </c>
      <c r="B14" s="4" t="s">
        <v>238</v>
      </c>
      <c r="C14" s="4" t="s">
        <v>242</v>
      </c>
      <c r="D14" s="15" t="n">
        <v>124.601455398543</v>
      </c>
      <c r="E14" s="26" t="n">
        <v>0.82350210956101</v>
      </c>
      <c r="F14" s="10" t="n">
        <v>54</v>
      </c>
      <c r="G14" s="10" t="n">
        <v>4487</v>
      </c>
    </row>
    <row r="15" customFormat="false" ht="15" hidden="false" customHeight="false" outlineLevel="0" collapsed="false">
      <c r="A15" s="3" t="s">
        <v>251</v>
      </c>
      <c r="B15" s="3" t="s">
        <v>236</v>
      </c>
      <c r="C15" s="3" t="s">
        <v>234</v>
      </c>
      <c r="D15" s="14" t="n">
        <v>119.768508894793</v>
      </c>
      <c r="E15" s="25" t="n">
        <v>0.778168169952817</v>
      </c>
      <c r="F15" s="7" t="n">
        <v>43</v>
      </c>
      <c r="G15" s="7" t="n">
        <v>3717</v>
      </c>
    </row>
    <row r="16" customFormat="false" ht="15" hidden="false" customHeight="false" outlineLevel="0" collapsed="false">
      <c r="A16" s="4" t="s">
        <v>252</v>
      </c>
      <c r="B16" s="4" t="s">
        <v>238</v>
      </c>
      <c r="C16" s="4" t="s">
        <v>234</v>
      </c>
      <c r="D16" s="15" t="n">
        <v>119.704137883813</v>
      </c>
      <c r="E16" s="26" t="n">
        <v>0.596968473291783</v>
      </c>
      <c r="F16" s="10" t="n">
        <v>34</v>
      </c>
      <c r="G16" s="10" t="n">
        <v>3003</v>
      </c>
    </row>
    <row r="17" customFormat="false" ht="15" hidden="false" customHeight="false" outlineLevel="0" collapsed="false">
      <c r="A17" s="3" t="s">
        <v>253</v>
      </c>
      <c r="B17" s="3" t="s">
        <v>238</v>
      </c>
      <c r="C17" s="3" t="s">
        <v>234</v>
      </c>
      <c r="D17" s="14" t="n">
        <v>158.678228976082</v>
      </c>
      <c r="E17" s="25" t="n">
        <v>0.831387540875796</v>
      </c>
      <c r="F17" s="7" t="n">
        <v>35</v>
      </c>
      <c r="G17" s="7" t="n">
        <v>2986</v>
      </c>
    </row>
    <row r="19" customFormat="false" ht="15" hidden="false" customHeight="false" outlineLevel="0" collapsed="false">
      <c r="A19" s="1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6" min="3" style="0" width="21"/>
    <col collapsed="false" customWidth="true" hidden="false" outlineLevel="0" max="7" min="7" style="0" width="20"/>
    <col collapsed="false" customWidth="true" hidden="false" outlineLevel="0" max="9" min="8" style="0" width="21"/>
    <col collapsed="false" customWidth="true" hidden="false" outlineLevel="0" max="10" min="10" style="0" width="13"/>
    <col collapsed="false" customWidth="true" hidden="false" outlineLevel="0" max="11" min="11" style="0" width="27"/>
    <col collapsed="false" customWidth="true" hidden="false" outlineLevel="0" max="13" min="12" style="0" width="13"/>
  </cols>
  <sheetData>
    <row r="1" customFormat="false" ht="16.1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  <c r="B2" s="2" t="s">
        <v>257</v>
      </c>
      <c r="C2" s="2" t="s">
        <v>258</v>
      </c>
      <c r="D2" s="2" t="s">
        <v>259</v>
      </c>
      <c r="E2" s="2" t="s">
        <v>260</v>
      </c>
      <c r="F2" s="2" t="s">
        <v>261</v>
      </c>
      <c r="G2" s="2" t="s">
        <v>262</v>
      </c>
      <c r="H2" s="2" t="s">
        <v>263</v>
      </c>
      <c r="I2" s="2" t="s">
        <v>264</v>
      </c>
      <c r="J2" s="2" t="s">
        <v>193</v>
      </c>
      <c r="K2" s="2" t="s">
        <v>265</v>
      </c>
      <c r="L2" s="2" t="s">
        <v>266</v>
      </c>
      <c r="M2" s="2" t="s">
        <v>34</v>
      </c>
    </row>
    <row r="3" customFormat="false" ht="15" hidden="false" customHeight="false" outlineLevel="0" collapsed="false">
      <c r="A3" s="3" t="s">
        <v>267</v>
      </c>
      <c r="B3" s="16" t="n">
        <v>1</v>
      </c>
      <c r="C3" s="16" t="n">
        <v>224.873875</v>
      </c>
      <c r="D3" s="16" t="n">
        <v>51.426875</v>
      </c>
      <c r="E3" s="16" t="n">
        <v>79.514375</v>
      </c>
      <c r="F3" s="16" t="n">
        <v>110.959</v>
      </c>
      <c r="G3" s="14" t="n">
        <v>8.208875</v>
      </c>
      <c r="H3" s="6" t="n">
        <v>0.710875</v>
      </c>
      <c r="I3" s="16" t="n">
        <v>500.540267735832</v>
      </c>
      <c r="J3" s="25" t="n">
        <v>0.0048</v>
      </c>
      <c r="K3" s="3" t="s">
        <v>268</v>
      </c>
      <c r="L3" s="14" t="n">
        <v>18.033</v>
      </c>
      <c r="M3" s="16" t="n">
        <v>8</v>
      </c>
    </row>
    <row r="4" customFormat="false" ht="15" hidden="false" customHeight="false" outlineLevel="0" collapsed="false">
      <c r="A4" s="4" t="s">
        <v>267</v>
      </c>
      <c r="B4" s="18" t="n">
        <v>2</v>
      </c>
      <c r="C4" s="18" t="n">
        <v>224.9996</v>
      </c>
      <c r="D4" s="18" t="n">
        <v>59.8344</v>
      </c>
      <c r="E4" s="18" t="n">
        <v>85.172</v>
      </c>
      <c r="F4" s="18" t="n">
        <v>118.3634</v>
      </c>
      <c r="G4" s="15" t="n">
        <v>7.3848</v>
      </c>
      <c r="H4" s="9" t="n">
        <v>0.9916</v>
      </c>
      <c r="I4" s="18" t="n">
        <v>373.165042543947</v>
      </c>
      <c r="J4" s="26" t="n">
        <v>0.0095</v>
      </c>
      <c r="K4" s="4" t="s">
        <v>269</v>
      </c>
      <c r="L4" s="15" t="n">
        <v>23.376</v>
      </c>
      <c r="M4" s="18" t="n">
        <v>5</v>
      </c>
    </row>
    <row r="5" customFormat="false" ht="15" hidden="false" customHeight="false" outlineLevel="0" collapsed="false">
      <c r="A5" s="3" t="s">
        <v>267</v>
      </c>
      <c r="B5" s="16" t="n">
        <v>3</v>
      </c>
      <c r="C5" s="16" t="n">
        <v>225.403142857143</v>
      </c>
      <c r="D5" s="16" t="n">
        <v>50.718</v>
      </c>
      <c r="E5" s="16" t="n">
        <v>74.8847142857143</v>
      </c>
      <c r="F5" s="16" t="n">
        <v>102.72</v>
      </c>
      <c r="G5" s="14" t="n">
        <v>8.483</v>
      </c>
      <c r="H5" s="6" t="n">
        <v>0.872857142857143</v>
      </c>
      <c r="I5" s="16" t="n">
        <v>402.175669000924</v>
      </c>
      <c r="J5" s="25" t="n">
        <v>0.0117</v>
      </c>
      <c r="K5" s="3" t="s">
        <v>270</v>
      </c>
      <c r="L5" s="14" t="n">
        <v>10.993</v>
      </c>
      <c r="M5" s="16" t="n">
        <v>7</v>
      </c>
    </row>
    <row r="6" customFormat="false" ht="15" hidden="false" customHeight="false" outlineLevel="0" collapsed="false">
      <c r="A6" s="4" t="s">
        <v>267</v>
      </c>
      <c r="B6" s="18" t="n">
        <v>4</v>
      </c>
      <c r="C6" s="18" t="n">
        <v>224.914</v>
      </c>
      <c r="D6" s="18" t="n">
        <v>50.29</v>
      </c>
      <c r="E6" s="18" t="n">
        <v>99.938</v>
      </c>
      <c r="F6" s="18" t="n">
        <v>121.1454</v>
      </c>
      <c r="G6" s="15" t="n">
        <v>7.5276</v>
      </c>
      <c r="H6" s="9" t="n">
        <v>0.9376</v>
      </c>
      <c r="I6" s="18" t="n">
        <v>400.204833233857</v>
      </c>
      <c r="J6" s="26" t="n">
        <v>0.0128</v>
      </c>
      <c r="K6" s="4" t="s">
        <v>271</v>
      </c>
      <c r="L6" s="15" t="n">
        <v>28.854</v>
      </c>
      <c r="M6" s="18" t="n">
        <v>5</v>
      </c>
    </row>
    <row r="7" customFormat="false" ht="15" hidden="false" customHeight="false" outlineLevel="0" collapsed="false">
      <c r="A7" s="3" t="s">
        <v>267</v>
      </c>
      <c r="B7" s="16" t="n">
        <v>5</v>
      </c>
      <c r="C7" s="16" t="n">
        <v>223.309</v>
      </c>
      <c r="D7" s="16" t="n">
        <v>42.6395</v>
      </c>
      <c r="E7" s="16" t="n">
        <v>76.9009</v>
      </c>
      <c r="F7" s="16" t="n">
        <v>110.745</v>
      </c>
      <c r="G7" s="14" t="n">
        <v>9.1322</v>
      </c>
      <c r="H7" s="6" t="n">
        <v>1.052</v>
      </c>
      <c r="I7" s="16" t="n">
        <v>325.995300891542</v>
      </c>
      <c r="J7" s="25" t="n">
        <v>0.0172</v>
      </c>
      <c r="K7" s="3" t="s">
        <v>272</v>
      </c>
      <c r="L7" s="14" t="n">
        <v>17.351</v>
      </c>
      <c r="M7" s="16" t="n">
        <v>10</v>
      </c>
    </row>
    <row r="8" customFormat="false" ht="15" hidden="false" customHeight="false" outlineLevel="0" collapsed="false">
      <c r="A8" s="4" t="s">
        <v>273</v>
      </c>
      <c r="B8" s="18" t="n">
        <v>1</v>
      </c>
      <c r="C8" s="18" t="n">
        <v>149.9926</v>
      </c>
      <c r="D8" s="18" t="n">
        <v>52.8152</v>
      </c>
      <c r="E8" s="18" t="n">
        <v>77.6606</v>
      </c>
      <c r="F8" s="18" t="n">
        <v>75.8416</v>
      </c>
      <c r="G8" s="15" t="n">
        <v>8.2484</v>
      </c>
      <c r="H8" s="9" t="n">
        <v>1.787</v>
      </c>
      <c r="I8" s="18" t="n">
        <v>162.332346613696</v>
      </c>
      <c r="J8" s="26" t="n">
        <v>0.1651</v>
      </c>
      <c r="K8" s="4" t="s">
        <v>274</v>
      </c>
      <c r="L8" s="15" t="n">
        <v>20.324</v>
      </c>
      <c r="M8" s="18" t="n">
        <v>5</v>
      </c>
    </row>
    <row r="9" customFormat="false" ht="15" hidden="false" customHeight="false" outlineLevel="0" collapsed="false">
      <c r="A9" s="3" t="s">
        <v>273</v>
      </c>
      <c r="B9" s="16" t="n">
        <v>2</v>
      </c>
      <c r="C9" s="16" t="n">
        <v>119.5725</v>
      </c>
      <c r="D9" s="16" t="n">
        <v>43.6025</v>
      </c>
      <c r="E9" s="16" t="n">
        <v>52.6261666666667</v>
      </c>
      <c r="F9" s="16" t="n">
        <v>56.389</v>
      </c>
      <c r="G9" s="14" t="n">
        <v>8.07066666666667</v>
      </c>
      <c r="H9" s="6" t="n">
        <v>1.36783333333333</v>
      </c>
      <c r="I9" s="16" t="n">
        <v>166.827549144259</v>
      </c>
      <c r="J9" s="25" t="n">
        <v>0.2719</v>
      </c>
      <c r="K9" s="3" t="s">
        <v>275</v>
      </c>
      <c r="L9" s="14" t="n">
        <v>26.594</v>
      </c>
      <c r="M9" s="16" t="n">
        <v>6</v>
      </c>
    </row>
    <row r="10" customFormat="false" ht="15" hidden="false" customHeight="false" outlineLevel="0" collapsed="false">
      <c r="A10" s="4" t="s">
        <v>273</v>
      </c>
      <c r="B10" s="18" t="n">
        <v>3</v>
      </c>
      <c r="C10" s="18" t="n">
        <v>125.2542</v>
      </c>
      <c r="D10" s="18" t="n">
        <v>39.7184</v>
      </c>
      <c r="E10" s="18" t="n">
        <v>59.4492</v>
      </c>
      <c r="F10" s="18" t="n">
        <v>73.224</v>
      </c>
      <c r="G10" s="15" t="n">
        <v>9.3226</v>
      </c>
      <c r="H10" s="9" t="n">
        <v>1.3474</v>
      </c>
      <c r="I10" s="18" t="n">
        <v>167.32673415805</v>
      </c>
      <c r="J10" s="26" t="n">
        <v>0.0715</v>
      </c>
      <c r="K10" s="4" t="s">
        <v>276</v>
      </c>
      <c r="L10" s="15" t="n">
        <v>19.494</v>
      </c>
      <c r="M10" s="18" t="n">
        <v>5</v>
      </c>
    </row>
    <row r="11" customFormat="false" ht="15" hidden="false" customHeight="false" outlineLevel="0" collapsed="false">
      <c r="A11" s="3" t="s">
        <v>273</v>
      </c>
      <c r="B11" s="16" t="n">
        <v>4</v>
      </c>
      <c r="C11" s="16" t="n">
        <v>151.068714285714</v>
      </c>
      <c r="D11" s="16" t="n">
        <v>38.2295714285714</v>
      </c>
      <c r="E11" s="16" t="n">
        <v>71.8122857142857</v>
      </c>
      <c r="F11" s="16" t="n">
        <v>69.1028571428571</v>
      </c>
      <c r="G11" s="14" t="n">
        <v>9.31528571428572</v>
      </c>
      <c r="H11" s="6" t="n">
        <v>1.57485714285714</v>
      </c>
      <c r="I11" s="16" t="n">
        <v>167.397432996347</v>
      </c>
      <c r="J11" s="25" t="n">
        <v>0.0977</v>
      </c>
      <c r="K11" s="3" t="s">
        <v>276</v>
      </c>
      <c r="L11" s="14" t="n">
        <v>18.798</v>
      </c>
      <c r="M11" s="16" t="n">
        <v>7</v>
      </c>
    </row>
    <row r="12" customFormat="false" ht="15" hidden="false" customHeight="false" outlineLevel="0" collapsed="false">
      <c r="A12" s="4" t="s">
        <v>273</v>
      </c>
      <c r="B12" s="18" t="n">
        <v>5</v>
      </c>
      <c r="C12" s="18" t="n">
        <v>195.132333333333</v>
      </c>
      <c r="D12" s="18" t="n">
        <v>39.1085</v>
      </c>
      <c r="E12" s="18" t="n">
        <v>80.143</v>
      </c>
      <c r="F12" s="18" t="n">
        <v>75.3</v>
      </c>
      <c r="G12" s="15" t="n">
        <v>9.31833333333333</v>
      </c>
      <c r="H12" s="9" t="n">
        <v>1.79916666666667</v>
      </c>
      <c r="I12" s="18" t="n">
        <v>178.524281693897</v>
      </c>
      <c r="J12" s="26" t="n">
        <v>0.1226</v>
      </c>
      <c r="K12" s="4" t="s">
        <v>277</v>
      </c>
      <c r="L12" s="15" t="n">
        <v>20.774</v>
      </c>
      <c r="M12" s="18" t="n">
        <v>6</v>
      </c>
    </row>
    <row r="13" customFormat="false" ht="15" hidden="false" customHeight="false" outlineLevel="0" collapsed="false">
      <c r="A13" s="3" t="s">
        <v>278</v>
      </c>
      <c r="B13" s="16" t="n">
        <v>1</v>
      </c>
      <c r="C13" s="16" t="n">
        <v>195.132333333333</v>
      </c>
      <c r="D13" s="16" t="n">
        <v>39.1085</v>
      </c>
      <c r="E13" s="16" t="n">
        <v>80.143</v>
      </c>
      <c r="F13" s="16" t="n">
        <v>75.3</v>
      </c>
      <c r="G13" s="14" t="n">
        <v>9.31833333333333</v>
      </c>
      <c r="H13" s="6" t="n">
        <v>1.79916666666667</v>
      </c>
      <c r="I13" s="16" t="n">
        <v>178.524281693897</v>
      </c>
      <c r="J13" s="25" t="n">
        <v>0.1226</v>
      </c>
      <c r="K13" s="3" t="s">
        <v>277</v>
      </c>
      <c r="L13" s="14" t="n">
        <v>20.774</v>
      </c>
      <c r="M13" s="16" t="n">
        <v>6</v>
      </c>
    </row>
    <row r="14" customFormat="false" ht="15" hidden="false" customHeight="false" outlineLevel="0" collapsed="false">
      <c r="A14" s="4" t="s">
        <v>278</v>
      </c>
      <c r="B14" s="18" t="n">
        <v>2</v>
      </c>
      <c r="C14" s="18" t="n">
        <v>149.9926</v>
      </c>
      <c r="D14" s="18" t="n">
        <v>52.8152</v>
      </c>
      <c r="E14" s="18" t="n">
        <v>77.6606</v>
      </c>
      <c r="F14" s="18" t="n">
        <v>75.8416</v>
      </c>
      <c r="G14" s="15" t="n">
        <v>8.2484</v>
      </c>
      <c r="H14" s="9" t="n">
        <v>1.787</v>
      </c>
      <c r="I14" s="18" t="n">
        <v>162.332346613696</v>
      </c>
      <c r="J14" s="26" t="n">
        <v>0.1651</v>
      </c>
      <c r="K14" s="4" t="s">
        <v>274</v>
      </c>
      <c r="L14" s="15" t="n">
        <v>20.324</v>
      </c>
      <c r="M14" s="18" t="n">
        <v>5</v>
      </c>
    </row>
    <row r="15" customFormat="false" ht="15" hidden="false" customHeight="false" outlineLevel="0" collapsed="false">
      <c r="A15" s="3" t="s">
        <v>278</v>
      </c>
      <c r="B15" s="16" t="n">
        <v>3</v>
      </c>
      <c r="C15" s="16" t="n">
        <v>221.665090909091</v>
      </c>
      <c r="D15" s="16" t="n">
        <v>37.2651818181818</v>
      </c>
      <c r="E15" s="16" t="n">
        <v>100.463272727273</v>
      </c>
      <c r="F15" s="16" t="n">
        <v>117.458181818182</v>
      </c>
      <c r="G15" s="14" t="n">
        <v>7.91209090909091</v>
      </c>
      <c r="H15" s="6" t="n">
        <v>1.68418181818182</v>
      </c>
      <c r="I15" s="16" t="n">
        <v>215.518963920522</v>
      </c>
      <c r="J15" s="25" t="n">
        <v>0.1055</v>
      </c>
      <c r="K15" s="3" t="s">
        <v>279</v>
      </c>
      <c r="L15" s="14" t="n">
        <v>28.608</v>
      </c>
      <c r="M15" s="16" t="n">
        <v>11</v>
      </c>
    </row>
    <row r="16" customFormat="false" ht="15" hidden="false" customHeight="false" outlineLevel="0" collapsed="false">
      <c r="A16" s="4" t="s">
        <v>278</v>
      </c>
      <c r="B16" s="18" t="n">
        <v>4</v>
      </c>
      <c r="C16" s="18" t="n">
        <v>190.4386</v>
      </c>
      <c r="D16" s="18" t="n">
        <v>47.0158</v>
      </c>
      <c r="E16" s="18" t="n">
        <v>72.7814</v>
      </c>
      <c r="F16" s="18" t="n">
        <v>107.088</v>
      </c>
      <c r="G16" s="15" t="n">
        <v>9.3162</v>
      </c>
      <c r="H16" s="9" t="n">
        <v>1.6808</v>
      </c>
      <c r="I16" s="18" t="n">
        <v>185.890821831519</v>
      </c>
      <c r="J16" s="26" t="n">
        <v>0.0952</v>
      </c>
      <c r="K16" s="4" t="s">
        <v>280</v>
      </c>
      <c r="L16" s="15" t="n">
        <v>20.049</v>
      </c>
      <c r="M16" s="18" t="n">
        <v>5</v>
      </c>
    </row>
    <row r="17" customFormat="false" ht="15" hidden="false" customHeight="false" outlineLevel="0" collapsed="false">
      <c r="A17" s="3" t="s">
        <v>278</v>
      </c>
      <c r="B17" s="16" t="n">
        <v>5</v>
      </c>
      <c r="C17" s="16" t="n">
        <v>176.534714285714</v>
      </c>
      <c r="D17" s="16" t="n">
        <v>45.582</v>
      </c>
      <c r="E17" s="16" t="n">
        <v>97.1982857142857</v>
      </c>
      <c r="F17" s="16" t="n">
        <v>121.582571428571</v>
      </c>
      <c r="G17" s="14" t="n">
        <v>8.94628571428572</v>
      </c>
      <c r="H17" s="6" t="n">
        <v>1.65685714285714</v>
      </c>
      <c r="I17" s="16" t="n">
        <v>193.035955279126</v>
      </c>
      <c r="J17" s="25" t="n">
        <v>0.0423</v>
      </c>
      <c r="K17" s="3" t="s">
        <v>281</v>
      </c>
      <c r="L17" s="14" t="n">
        <v>28.47</v>
      </c>
      <c r="M17" s="16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58</v>
      </c>
      <c r="B2" s="2" t="s">
        <v>283</v>
      </c>
      <c r="C2" s="2" t="s">
        <v>231</v>
      </c>
      <c r="D2" s="2" t="s">
        <v>284</v>
      </c>
    </row>
    <row r="3" customFormat="false" ht="15" hidden="false" customHeight="false" outlineLevel="0" collapsed="false">
      <c r="A3" s="3" t="s">
        <v>60</v>
      </c>
      <c r="B3" s="7" t="n">
        <v>6729</v>
      </c>
      <c r="C3" s="7" t="n">
        <v>424184</v>
      </c>
      <c r="D3" s="20" t="n">
        <v>0.3172</v>
      </c>
    </row>
    <row r="4" customFormat="false" ht="15" hidden="false" customHeight="false" outlineLevel="0" collapsed="false">
      <c r="A4" s="4" t="s">
        <v>61</v>
      </c>
      <c r="B4" s="10" t="n">
        <v>3244</v>
      </c>
      <c r="C4" s="10" t="n">
        <v>176898</v>
      </c>
      <c r="D4" s="21" t="n">
        <v>0.2555</v>
      </c>
    </row>
    <row r="5" customFormat="false" ht="15" hidden="false" customHeight="false" outlineLevel="0" collapsed="false">
      <c r="A5" s="3" t="s">
        <v>62</v>
      </c>
      <c r="B5" s="7" t="n">
        <v>3356</v>
      </c>
      <c r="C5" s="7" t="n">
        <v>141577</v>
      </c>
      <c r="D5" s="20" t="n">
        <v>0.233</v>
      </c>
    </row>
    <row r="6" customFormat="false" ht="15" hidden="false" customHeight="false" outlineLevel="0" collapsed="false">
      <c r="A6" s="4" t="s">
        <v>63</v>
      </c>
      <c r="B6" s="10" t="n">
        <v>1584</v>
      </c>
      <c r="C6" s="10" t="n">
        <v>126768</v>
      </c>
      <c r="D6" s="21" t="n">
        <v>0.2266</v>
      </c>
    </row>
    <row r="7" customFormat="false" ht="15" hidden="false" customHeight="false" outlineLevel="0" collapsed="false">
      <c r="A7" s="13" t="s">
        <v>64</v>
      </c>
      <c r="B7" s="5" t="n">
        <f aca="false">SUM(B3:B6)</f>
        <v>14913</v>
      </c>
      <c r="C7" s="5" t="n">
        <f aca="false">SUM(C3:C6)</f>
        <v>869427</v>
      </c>
    </row>
    <row r="9" customFormat="false" ht="15" hidden="false" customHeight="false" outlineLevel="0" collapsed="false">
      <c r="A9" s="2" t="s">
        <v>222</v>
      </c>
      <c r="B9" s="2" t="s">
        <v>2</v>
      </c>
    </row>
    <row r="10" customFormat="false" ht="15" hidden="false" customHeight="false" outlineLevel="0" collapsed="false">
      <c r="A10" s="3" t="s">
        <v>285</v>
      </c>
      <c r="B10" s="35" t="n">
        <v>233015.6</v>
      </c>
    </row>
    <row r="11" customFormat="false" ht="15" hidden="false" customHeight="false" outlineLevel="0" collapsed="false">
      <c r="A11" s="4" t="s">
        <v>286</v>
      </c>
      <c r="B11" s="21" t="n">
        <v>0.085</v>
      </c>
    </row>
    <row r="12" customFormat="false" ht="15" hidden="false" customHeight="false" outlineLevel="0" collapsed="false">
      <c r="A12" s="3" t="s">
        <v>287</v>
      </c>
      <c r="B12" s="35" t="n">
        <v>0.73</v>
      </c>
    </row>
    <row r="13" customFormat="false" ht="15" hidden="false" customHeight="false" outlineLevel="0" collapsed="false">
      <c r="A13" s="4" t="s">
        <v>288</v>
      </c>
      <c r="B13" s="36" t="n">
        <v>154.4</v>
      </c>
    </row>
    <row r="14" customFormat="false" ht="15" hidden="false" customHeight="false" outlineLevel="0" collapsed="false">
      <c r="A14" s="3" t="s">
        <v>289</v>
      </c>
      <c r="B14" s="35" t="n">
        <v>130.9</v>
      </c>
    </row>
    <row r="15" customFormat="false" ht="15" hidden="false" customHeight="false" outlineLevel="0" collapsed="false">
      <c r="A15" s="4" t="s">
        <v>290</v>
      </c>
      <c r="B15" s="36" t="n">
        <v>170.2</v>
      </c>
    </row>
    <row r="17" customFormat="false" ht="16.15" hidden="false" customHeight="false" outlineLevel="0" collapsed="false">
      <c r="A17" s="1" t="s">
        <v>291</v>
      </c>
    </row>
    <row r="18" customFormat="false" ht="15" hidden="false" customHeight="false" outlineLevel="0" collapsed="false">
      <c r="A18" s="2" t="s">
        <v>292</v>
      </c>
      <c r="B18" s="2" t="s">
        <v>293</v>
      </c>
      <c r="C18" s="2" t="s">
        <v>283</v>
      </c>
    </row>
    <row r="19" customFormat="false" ht="15" hidden="false" customHeight="false" outlineLevel="0" collapsed="false">
      <c r="A19" s="3" t="s">
        <v>294</v>
      </c>
      <c r="B19" s="3" t="s">
        <v>295</v>
      </c>
      <c r="C19" s="7" t="n">
        <v>1159</v>
      </c>
    </row>
    <row r="20" customFormat="false" ht="15" hidden="false" customHeight="false" outlineLevel="0" collapsed="false">
      <c r="A20" s="4" t="s">
        <v>296</v>
      </c>
      <c r="B20" s="4" t="s">
        <v>295</v>
      </c>
      <c r="C20" s="10" t="n">
        <v>13651</v>
      </c>
    </row>
    <row r="21" customFormat="false" ht="15" hidden="false" customHeight="false" outlineLevel="0" collapsed="false">
      <c r="A21" s="3" t="s">
        <v>297</v>
      </c>
      <c r="B21" s="3" t="s">
        <v>295</v>
      </c>
      <c r="C21" s="7" t="n">
        <v>103</v>
      </c>
    </row>
    <row r="23" customFormat="false" ht="15" hidden="false" customHeight="false" outlineLevel="0" collapsed="false">
      <c r="A23" s="12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2026-10-23T05:29:35Z</dcterms:created>
  <dc:creator>openpyxl</dc:creator>
  <dc:description/>
  <dc:language>en-US</dc:language>
  <cp:lastModifiedBy/>
  <dcterms:modified xsi:type="dcterms:W3CDTF">2026-10-23T05:29:35Z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