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GroupKFold" sheetId="6" state="visible" r:id="rId8"/>
    <sheet name="LOOCV-Caserón" sheetId="7" state="visible" r:id="rId9"/>
    <sheet name="Importancia" sheetId="8" state="visible" r:id="rId10"/>
    <sheet name="Comparación" sheetId="9" state="visible" r:id="rId11"/>
    <sheet name="UCS por litología" sheetId="10" state="visible" r:id="rId12"/>
    <sheet name="PEP estratos" sheetId="11" state="visible" r:id="rId13"/>
    <sheet name="Concordancia 1541" sheetId="12" state="visible" r:id="rId14"/>
    <sheet name="T6.3 Dominios" sheetId="13" state="visible" r:id="rId15"/>
    <sheet name="T6.4 Ranking" sheetId="14" state="visible" r:id="rId16"/>
    <sheet name="Bloqu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<sst xmlns="http://schemas.openxmlformats.org/spreadsheetml/2006/main" count="462" uniqueCount="256">
  <si>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</si>
  <si>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</si>
  <si>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</si>
  <si>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</si>
  <si>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</si>
  <si>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</si>
  <si>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</si>
  <si>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</si>
  <si>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</si>
  <si>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</si>
  <si>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</si>
  <si>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</si>
  <si>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</si>
  <si>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</si>
  <si>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</si>
  <si>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</si>
  <si>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</si>
  <si>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</si>
  <si>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</si>
  <si>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</si>
  <si>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</si>
  <si>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</si>
  <si>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</si>
  <si>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</si>
  <si>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</si>
  <si>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</si>
  <si>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</si>
  <si>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</si>
  <si>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</si>
  <si>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</si>
  <si>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</si>
  <si>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</si>
  <si>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</si>
  <si>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</si>
  <si>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</si>
  <si>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</si>
  <si>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</si>
  <si>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</si>
  <si>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</si>
  <si>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</si>
  <si>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</si>
  <si>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</si>
  <si>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</si>
  <si>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</si>
  <si>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</si>
  <si>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</si>
  <si>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</si>
  <si>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</si>
  <si>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</si>
  <si>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</si>
  <si>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</si>
  <si>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</si>
  <si>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</si>
  <si>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</si>
  <si>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</si>
  <si>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</si>
  <si>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</si>
  <si>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</si>
  <si>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</si>
  <si>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</si>
  <si>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</si>
  <si>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</si>
  <si>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</si>
  <si>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</si>
  <si>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</si>
  <si>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</si>
  <si>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</si>
  <si>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</si>
  <si>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</si>
  <si>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</si>
  <si>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</si>
  <si>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</si>
  <si>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</si>
  <si>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</si>
  <si>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</si>
  <si>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</si>
  <si>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</si>
  <si>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</si>
  <si>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</si>
  <si>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</si>
  <si>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</si>
  <si>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</si>
  <si>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</si>
  <si>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</si>
  <si>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</si>
  <si>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</si>
  <si>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</si>
  <si>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</si>
  <si>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</si>
  <si>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</si>
  <si>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</si>
  <si>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</si>
  <si>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</si>
  <si>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</si>
  <si>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</si>
  <si>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</si>
  <si>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</si>
  <si>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ρ de Spearman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</si>
  <si>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</si>
  <si>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</si>
  <si>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</si>
  <si>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</si>
  <si>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</si>
  <si>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</si>
  <si>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</si>
  <si>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</si>
  <si>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</si>
  <si>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</si>
  <si>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</si>
  <si>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</si>
  <si>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</si>
  <si>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</si>
  <si>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</si>
  <si>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</si>
  <si>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</si>
  <si>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</si>
  <si>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</si>
  <si>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</si>
  <si>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</si>
  <si>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</si>
  <si>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</si>
  <si>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</si>
  <si>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</si>
  <si>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</si>
  <si>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</si>
  <si>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</si>
  <si>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</si>
  <si>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</si>
  <si>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</si>
  <si>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</si>
  <si>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</si>
  <si>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</si>
  <si>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</si>
  <si>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</si>
  <si>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</si>
  <si>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</si>
  <si>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</si>
  <si>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</si>
  <si>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</si>
  <si>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</si>
  <si>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</si>
  <si>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</si>
  <si>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</si>
  <si>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</si>
  <si>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</si>
  <si>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</si>
  <si>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</si>
  <si>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</si>
  <si>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</si>
  <si>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</si>
  <si>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</si>
  <si>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</si>
  <si>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</si>
  <si>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</si>
  <si>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</si>
  <si>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</si>
  <si>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</si>
  <si>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</si>
  <si>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</si>
  <si>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</si>
  <si>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</si>
  <si>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</si>
  <si>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</si>
  <si>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</si>
  <si>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</si>
  <si>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</si>
  <si>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</si>
  <si>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</si>
  <si>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</si>
  <si>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</si>
  <si>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Picos de DI y cruces de malla en PCC_1541 (radio 3 m)</t>
  </si>
  <si>
    <t xml:space="preserve">Umbral DI</t>
  </si>
  <si>
    <t xml:space="preserve">Picos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</si>
  <si>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</si>
  <si>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</si>
  <si>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</si>
  <si>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</si>
  <si>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</si>
  <si>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</si>
  <si>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</si>
  <si>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</si>
  <si>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</si>
  <si>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Tabla 6.3 · Agrupación de dominios geomecánicos</t>
  </si>
  <si>
    <t xml:space="preserve">Grupo</t>
  </si>
  <si>
    <t xml:space="preserve">Estructura</t>
  </si>
  <si>
    <t xml:space="preserve">UCS ML media [MPa]</t>
  </si>
  <si>
    <t xml:space="preserve">DI medio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</si>
  <si>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</si>
  <si>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</si>
  <si>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</si>
  <si>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</si>
  <si>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</si>
  <si>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</si>
  <si>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</si>
  <si>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</si>
  <si>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</si>
  <si>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</si>
  <si>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</si>
  <si>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</si>
  <si>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</si>
  <si>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</si>
  <si>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</si>
  <si>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</si>
  <si>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</si>
  <si>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</si>
  <si>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</si>
  <si>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</si>
  <si>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</si>
  <si>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</si>
  <si>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</si>
  <si>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</si>
  <si>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</si>
  <si>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</si>
  <si>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</si>
  <si>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</si>
  <si>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</si>
  <si>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</si>
  <si>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</si>
  <si>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</si>
  <si>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</si>
  <si>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</si>
  <si>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</si>
  <si>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</si>
  <si>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</si>
  <si>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</si>
  <si>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</si>
  <si>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</si>
  <si>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</si>
  <si>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</si>
  <si>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</si>
  <si>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</si>
  <si>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</si>
  <si>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PCC_0042_PR01_TH_P20_H13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</si>
  <si>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</si>
  <si>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</si>
  <si>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</si>
  <si>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</si>
  <si>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</si>
  <si>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</si>
  <si>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</si>
  <si>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</si>
  <si>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</si>
  <si>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</si>
  <si>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</si>
  <si>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</si>
  <si>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</si>
  <si>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</si>
  <si>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</si>
  <si>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Bloques por clase de DI</t>
  </si>
  <si>
    <t xml:space="preserve">Clase de DI</t>
  </si>
  <si>
    <t xml:space="preserve">Banda ISRM de UCS</t>
  </si>
  <si>
    <t xml:space="preserve">transición (1 &lt; DI ≤ 1,5)</t>
  </si>
  <si>
    <t xml:space="preserve">R5 muy alta</t>
  </si>
  <si>
    <t xml:space="preserve">sana (DI ≤ 1)</t>
  </si>
  <si>
    <t xml:space="preserve">fracturada (DI &gt; 1,5)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</si>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</sst>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00"/>
    <numFmt numFmtId="172" formatCode="\+0.0;\-0.0"/>
    <numFmt numFmtId="173" formatCode="0.0%"/>
    <numFmt numFmtId="174" formatCode="\+0.0%;\-0.0%"/>
    <numFmt numFmtId="175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</row>
    <row r="3" customFormat="false" ht="15" hidden="false" customHeight="false" outlineLevel="0" collapsed="false">
      <c r="A3" s="3" t="s">
        <v>98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99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100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101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102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103</v>
      </c>
      <c r="D8" s="20" t="n">
        <f aca="false">AVERAGE(D3:D7)</f>
        <v>0.2898</v>
      </c>
      <c r="E8" s="21" t="n">
        <f aca="false">AVERAGE(E3:E7)</f>
        <v>30.354</v>
      </c>
      <c r="F8" s="20" t="n">
        <f aca="false">AVERAGE(F3:F7)</f>
        <v>0.5636</v>
      </c>
    </row>
    <row r="9" customFormat="false" ht="15" hidden="false" customHeight="false" outlineLevel="0" collapsed="false">
      <c r="A9" s="13" t="s">
        <v>104</v>
      </c>
      <c r="D9" s="22" t="n">
        <f aca="false">STDEV(D3:D7)</f>
        <v>0.0219818106624545</v>
      </c>
      <c r="E9" s="22" t="n">
        <f aca="false">STDEV(E3:E7)</f>
        <v>1.50573237994007</v>
      </c>
      <c r="F9" s="22" t="n">
        <f aca="false">STDEV(F3:F7)</f>
        <v>0.0265857104475317</v>
      </c>
    </row>
    <row r="11" customFormat="false" ht="15" hidden="false" customHeight="false" outlineLevel="0" collapsed="false">
      <c r="A11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108</v>
      </c>
      <c r="D7" s="20" t="n">
        <f aca="false">AVERAGE(D3:D6)</f>
        <v>-2.766</v>
      </c>
      <c r="E7" s="21" t="n">
        <f aca="false">AVERAGE(E3:E6)</f>
        <v>50.5325</v>
      </c>
      <c r="F7" s="20" t="n">
        <f aca="false">AVERAGE(F3:F6)</f>
        <v>0.111333333333333</v>
      </c>
    </row>
    <row r="10" customFormat="false" ht="15" hidden="false" customHeight="false" outlineLevel="0" collapsed="false">
      <c r="A10" s="12" t="s">
        <v>109</v>
      </c>
    </row>
    <row r="11" customFormat="false" ht="15" hidden="false" customHeight="false" outlineLevel="0" collapsed="false">
      <c r="A11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  <c r="B2" s="2" t="s">
        <v>112</v>
      </c>
    </row>
    <row r="3" customFormat="false" ht="15" hidden="false" customHeight="false" outlineLevel="0" collapsed="false">
      <c r="A3" s="3" t="s">
        <v>76</v>
      </c>
      <c r="B3" s="23" t="n">
        <v>0.2225</v>
      </c>
    </row>
    <row r="4" customFormat="false" ht="15" hidden="false" customHeight="false" outlineLevel="0" collapsed="false">
      <c r="A4" s="4" t="s">
        <v>74</v>
      </c>
      <c r="B4" s="24" t="n">
        <v>0.1306</v>
      </c>
    </row>
    <row r="5" customFormat="false" ht="15" hidden="false" customHeight="false" outlineLevel="0" collapsed="false">
      <c r="A5" s="3" t="s">
        <v>113</v>
      </c>
      <c r="B5" s="23" t="n">
        <v>0.0494</v>
      </c>
    </row>
    <row r="6" customFormat="false" ht="15" hidden="false" customHeight="false" outlineLevel="0" collapsed="false">
      <c r="A6" s="4" t="s">
        <v>73</v>
      </c>
      <c r="B6" s="24" t="n">
        <v>0.0427</v>
      </c>
    </row>
    <row r="7" customFormat="false" ht="15" hidden="false" customHeight="false" outlineLevel="0" collapsed="false">
      <c r="A7" s="3" t="s">
        <v>77</v>
      </c>
      <c r="B7" s="23" t="n">
        <v>0.0409</v>
      </c>
    </row>
    <row r="8" customFormat="false" ht="15" hidden="false" customHeight="false" outlineLevel="0" collapsed="false">
      <c r="A8" s="4" t="s">
        <v>114</v>
      </c>
      <c r="B8" s="24" t="n">
        <v>0.0156</v>
      </c>
    </row>
    <row r="9" customFormat="false" ht="15" hidden="false" customHeight="false" outlineLevel="0" collapsed="false">
      <c r="A9" s="3" t="s">
        <v>75</v>
      </c>
      <c r="B9" s="23" t="n">
        <v>0.0094</v>
      </c>
    </row>
    <row r="11" customFormat="false" ht="15" hidden="false" customHeight="false" outlineLevel="0" collapsed="false">
      <c r="A11" s="12" t="s">
        <v>115</v>
      </c>
    </row>
    <row r="12" customFormat="false" ht="16.15" hidden="false" customHeight="false" outlineLevel="0" collapsed="false">
      <c r="A12" s="1" t="s">
        <v>116</v>
      </c>
    </row>
    <row r="13" customFormat="false" ht="15" hidden="false" customHeight="false" outlineLevel="0" collapsed="false">
      <c r="A13" s="2" t="s">
        <v>117</v>
      </c>
      <c r="B13" s="2" t="s">
        <v>2</v>
      </c>
    </row>
    <row r="14" customFormat="false" ht="15" hidden="false" customHeight="false" outlineLevel="0" collapsed="false">
      <c r="A14" s="3" t="s">
        <v>118</v>
      </c>
      <c r="B14" s="23" t="n">
        <v>0.29</v>
      </c>
    </row>
    <row r="15" customFormat="false" ht="15" hidden="false" customHeight="false" outlineLevel="0" collapsed="false">
      <c r="A15" s="4" t="s">
        <v>119</v>
      </c>
      <c r="B15" s="24" t="n">
        <v>0.02</v>
      </c>
    </row>
    <row r="16" customFormat="false" ht="15" hidden="false" customHeight="false" outlineLevel="0" collapsed="false">
      <c r="A16" s="3" t="s">
        <v>120</v>
      </c>
      <c r="B16" s="23" t="n">
        <v>0.323</v>
      </c>
    </row>
    <row r="17" customFormat="false" ht="15" hidden="false" customHeight="false" outlineLevel="0" collapsed="false">
      <c r="A17" s="4" t="s">
        <v>121</v>
      </c>
      <c r="B17" s="24" t="n">
        <v>29.7</v>
      </c>
    </row>
    <row r="18" customFormat="false" ht="15" hidden="false" customHeight="false" outlineLevel="0" collapsed="false">
      <c r="A18" s="3" t="s">
        <v>122</v>
      </c>
      <c r="B18" s="23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  <c r="B2" s="2" t="s">
        <v>120</v>
      </c>
      <c r="C2" s="2" t="s">
        <v>125</v>
      </c>
      <c r="D2" s="2" t="s">
        <v>126</v>
      </c>
      <c r="E2" s="2" t="s">
        <v>127</v>
      </c>
      <c r="F2" s="2" t="s">
        <v>128</v>
      </c>
      <c r="G2" s="2" t="s">
        <v>129</v>
      </c>
    </row>
    <row r="3" customFormat="false" ht="15" hidden="false" customHeight="false" outlineLevel="0" collapsed="false">
      <c r="A3" s="3" t="s">
        <v>130</v>
      </c>
      <c r="B3" s="23" t="n">
        <v>0.184</v>
      </c>
      <c r="C3" s="17" t="n">
        <v>0.136</v>
      </c>
      <c r="D3" s="23" t="n">
        <v>0.04</v>
      </c>
      <c r="E3" s="14" t="n">
        <v>33.5</v>
      </c>
      <c r="F3" s="14" t="n">
        <v>5</v>
      </c>
      <c r="G3" s="23" t="n">
        <f aca="false">B3-C3</f>
        <v>0.048</v>
      </c>
    </row>
    <row r="4" customFormat="false" ht="15" hidden="false" customHeight="false" outlineLevel="0" collapsed="false">
      <c r="A4" s="4" t="s">
        <v>131</v>
      </c>
      <c r="B4" s="24" t="n">
        <v>0.703</v>
      </c>
      <c r="C4" s="19" t="n">
        <v>-0.059</v>
      </c>
      <c r="D4" s="24" t="n">
        <v>0.222</v>
      </c>
      <c r="E4" s="15" t="n">
        <v>36.5</v>
      </c>
      <c r="F4" s="15" t="n">
        <v>3.7</v>
      </c>
      <c r="G4" s="24" t="n">
        <f aca="false">B4-C4</f>
        <v>0.762</v>
      </c>
    </row>
    <row r="5" customFormat="false" ht="15" hidden="false" customHeight="false" outlineLevel="0" collapsed="false">
      <c r="A5" s="3" t="s">
        <v>20</v>
      </c>
      <c r="B5" s="23" t="n">
        <v>0.485</v>
      </c>
      <c r="C5" s="17" t="n">
        <v>0.166</v>
      </c>
      <c r="D5" s="23" t="n">
        <v>0.189</v>
      </c>
      <c r="E5" s="14" t="n">
        <v>32.4</v>
      </c>
      <c r="F5" s="14" t="n">
        <v>3.6</v>
      </c>
      <c r="G5" s="23" t="n">
        <f aca="false">B5-C5</f>
        <v>0.319</v>
      </c>
    </row>
    <row r="6" customFormat="false" ht="15" hidden="false" customHeight="false" outlineLevel="0" collapsed="false">
      <c r="A6" s="4" t="s">
        <v>132</v>
      </c>
      <c r="B6" s="24" t="n">
        <v>0.594</v>
      </c>
      <c r="C6" s="19" t="n">
        <v>0.147</v>
      </c>
      <c r="D6" s="24" t="n">
        <v>0.227</v>
      </c>
      <c r="E6" s="15" t="n">
        <v>32.6</v>
      </c>
      <c r="F6" s="15" t="n">
        <v>4.1</v>
      </c>
      <c r="G6" s="24" t="n">
        <f aca="false">B6-C6</f>
        <v>0.447</v>
      </c>
    </row>
    <row r="7" customFormat="false" ht="15" hidden="false" customHeight="false" outlineLevel="0" collapsed="false">
      <c r="A7" s="3" t="s">
        <v>133</v>
      </c>
      <c r="B7" s="23" t="n">
        <v>0.492</v>
      </c>
      <c r="C7" s="17" t="n">
        <v>0.088</v>
      </c>
      <c r="D7" s="23" t="n">
        <v>0.214</v>
      </c>
      <c r="E7" s="14" t="n">
        <v>33.7</v>
      </c>
      <c r="F7" s="14" t="n">
        <v>2.9</v>
      </c>
      <c r="G7" s="23" t="n">
        <f aca="false">B7-C7</f>
        <v>0.404</v>
      </c>
    </row>
    <row r="9" customFormat="false" ht="15" hidden="false" customHeight="false" outlineLevel="0" collapsed="false">
      <c r="A9" s="1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136</v>
      </c>
      <c r="E2" s="2" t="s">
        <v>137</v>
      </c>
      <c r="F2" s="2" t="s">
        <v>138</v>
      </c>
      <c r="G2" s="2" t="s">
        <v>139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5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26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5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26" t="n">
        <f aca="false">E6-C6</f>
        <v>-12.7</v>
      </c>
    </row>
    <row r="8" customFormat="false" ht="16.15" hidden="false" customHeight="false" outlineLevel="0" collapsed="false">
      <c r="A8" s="1" t="s">
        <v>140</v>
      </c>
    </row>
    <row r="9" customFormat="false" ht="15" hidden="false" customHeight="false" outlineLevel="0" collapsed="false">
      <c r="A9" s="2" t="s">
        <v>141</v>
      </c>
      <c r="B9" s="2" t="s">
        <v>34</v>
      </c>
      <c r="C9" s="2" t="s">
        <v>142</v>
      </c>
      <c r="D9" s="2" t="s">
        <v>143</v>
      </c>
    </row>
    <row r="10" customFormat="false" ht="15" hidden="false" customHeight="false" outlineLevel="0" collapsed="false">
      <c r="A10" s="3" t="s">
        <v>144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145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147</v>
      </c>
      <c r="D2" s="2" t="s">
        <v>34</v>
      </c>
      <c r="E2" s="2" t="s">
        <v>148</v>
      </c>
      <c r="F2" s="2" t="s">
        <v>149</v>
      </c>
      <c r="G2" s="2" t="s">
        <v>150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151</v>
      </c>
      <c r="D3" s="7" t="n">
        <v>153</v>
      </c>
      <c r="E3" s="14" t="n">
        <v>237.149038176504</v>
      </c>
      <c r="F3" s="23" t="n">
        <v>0.421371709033684</v>
      </c>
      <c r="G3" s="23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152</v>
      </c>
      <c r="D4" s="10" t="n">
        <v>331</v>
      </c>
      <c r="E4" s="15" t="n">
        <v>263.852272427441</v>
      </c>
      <c r="F4" s="24" t="n">
        <v>0.395598425949618</v>
      </c>
      <c r="G4" s="24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153</v>
      </c>
      <c r="D5" s="7" t="n">
        <v>1439</v>
      </c>
      <c r="E5" s="14" t="n">
        <v>342.535483318491</v>
      </c>
      <c r="F5" s="23" t="n">
        <v>0.474310507926838</v>
      </c>
      <c r="G5" s="23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154</v>
      </c>
      <c r="D6" s="10" t="n">
        <v>3303</v>
      </c>
      <c r="E6" s="15" t="n">
        <v>332.586897951087</v>
      </c>
      <c r="F6" s="24" t="n">
        <v>0.413680474209057</v>
      </c>
      <c r="G6" s="24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155</v>
      </c>
      <c r="D7" s="7" t="n">
        <v>6204</v>
      </c>
      <c r="E7" s="14" t="n">
        <v>371.261248369199</v>
      </c>
      <c r="F7" s="23" t="n">
        <v>0.375096773281548</v>
      </c>
      <c r="G7" s="23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156</v>
      </c>
      <c r="D8" s="10" t="n">
        <v>4488</v>
      </c>
      <c r="E8" s="15" t="n">
        <v>359.26123899181</v>
      </c>
      <c r="F8" s="24" t="n">
        <v>0.358362457170613</v>
      </c>
      <c r="G8" s="24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157</v>
      </c>
      <c r="D9" s="7" t="n">
        <v>8306</v>
      </c>
      <c r="E9" s="14" t="n">
        <v>327.986036083822</v>
      </c>
      <c r="F9" s="23" t="n">
        <v>0.313833984063358</v>
      </c>
      <c r="G9" s="23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158</v>
      </c>
      <c r="D10" s="10" t="n">
        <v>7523</v>
      </c>
      <c r="E10" s="15" t="n">
        <v>325.614844207006</v>
      </c>
      <c r="F10" s="24" t="n">
        <v>0.299534802737164</v>
      </c>
      <c r="G10" s="24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159</v>
      </c>
      <c r="D11" s="7" t="n">
        <v>17670</v>
      </c>
      <c r="E11" s="14" t="n">
        <v>332.288926533558</v>
      </c>
      <c r="F11" s="23" t="n">
        <v>0.247739838365748</v>
      </c>
      <c r="G11" s="23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160</v>
      </c>
      <c r="D12" s="10" t="n">
        <v>17807</v>
      </c>
      <c r="E12" s="15" t="n">
        <v>323.793416204548</v>
      </c>
      <c r="F12" s="24" t="n">
        <v>0.24797376843445</v>
      </c>
      <c r="G12" s="24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161</v>
      </c>
      <c r="D13" s="7" t="n">
        <v>8826</v>
      </c>
      <c r="E13" s="14" t="n">
        <v>309.589047051587</v>
      </c>
      <c r="F13" s="23" t="n">
        <v>0.262267410701288</v>
      </c>
      <c r="G13" s="23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162</v>
      </c>
      <c r="D14" s="10" t="n">
        <v>17252</v>
      </c>
      <c r="E14" s="15" t="n">
        <v>305.891885977378</v>
      </c>
      <c r="F14" s="24" t="n">
        <v>0.244693269104311</v>
      </c>
      <c r="G14" s="24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163</v>
      </c>
      <c r="D15" s="7" t="n">
        <v>59398</v>
      </c>
      <c r="E15" s="14" t="n">
        <v>322.195476882075</v>
      </c>
      <c r="F15" s="23" t="n">
        <v>0.211716081126312</v>
      </c>
      <c r="G15" s="23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164</v>
      </c>
      <c r="D16" s="10" t="n">
        <v>71391</v>
      </c>
      <c r="E16" s="15" t="n">
        <v>348.548507137548</v>
      </c>
      <c r="F16" s="24" t="n">
        <v>0.194802604846406</v>
      </c>
      <c r="G16" s="24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151</v>
      </c>
      <c r="D17" s="7" t="n">
        <v>40</v>
      </c>
      <c r="E17" s="14" t="n">
        <v>490.002845904483</v>
      </c>
      <c r="F17" s="23" t="n">
        <v>0.324403964150271</v>
      </c>
      <c r="G17" s="23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152</v>
      </c>
      <c r="D18" s="10" t="n">
        <v>54</v>
      </c>
      <c r="E18" s="15" t="n">
        <v>557.009518832555</v>
      </c>
      <c r="F18" s="24" t="n">
        <v>0.346955435487386</v>
      </c>
      <c r="G18" s="24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153</v>
      </c>
      <c r="D19" s="7" t="n">
        <v>106</v>
      </c>
      <c r="E19" s="14" t="n">
        <v>617.815066800507</v>
      </c>
      <c r="F19" s="23" t="n">
        <v>0.341841031580977</v>
      </c>
      <c r="G19" s="23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154</v>
      </c>
      <c r="D20" s="10" t="n">
        <v>76</v>
      </c>
      <c r="E20" s="15" t="n">
        <v>506.253719656951</v>
      </c>
      <c r="F20" s="24" t="n">
        <v>0.428586427145581</v>
      </c>
      <c r="G20" s="24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155</v>
      </c>
      <c r="D21" s="7" t="n">
        <v>116</v>
      </c>
      <c r="E21" s="14" t="n">
        <v>390.702302862281</v>
      </c>
      <c r="F21" s="23" t="n">
        <v>0.272872915686073</v>
      </c>
      <c r="G21" s="23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156</v>
      </c>
      <c r="D22" s="10" t="n">
        <v>292</v>
      </c>
      <c r="E22" s="15" t="n">
        <v>400.704367313656</v>
      </c>
      <c r="F22" s="24" t="n">
        <v>0.311962405709972</v>
      </c>
      <c r="G22" s="24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157</v>
      </c>
      <c r="D23" s="7" t="n">
        <v>3030</v>
      </c>
      <c r="E23" s="14" t="n">
        <v>480.245389310267</v>
      </c>
      <c r="F23" s="23" t="n">
        <v>0.279693777433975</v>
      </c>
      <c r="G23" s="23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158</v>
      </c>
      <c r="D24" s="10" t="n">
        <v>2672</v>
      </c>
      <c r="E24" s="15" t="n">
        <v>471.621622585155</v>
      </c>
      <c r="F24" s="24" t="n">
        <v>0.26316126226668</v>
      </c>
      <c r="G24" s="24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159</v>
      </c>
      <c r="D25" s="7" t="n">
        <v>2282</v>
      </c>
      <c r="E25" s="14" t="n">
        <v>430.282771322748</v>
      </c>
      <c r="F25" s="23" t="n">
        <v>0.210061338770437</v>
      </c>
      <c r="G25" s="23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160</v>
      </c>
      <c r="D26" s="10" t="n">
        <v>1979</v>
      </c>
      <c r="E26" s="15" t="n">
        <v>432.658707257502</v>
      </c>
      <c r="F26" s="24" t="n">
        <v>0.19553590386331</v>
      </c>
      <c r="G26" s="24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161</v>
      </c>
      <c r="D27" s="7" t="n">
        <v>1986</v>
      </c>
      <c r="E27" s="14" t="n">
        <v>408.695485284908</v>
      </c>
      <c r="F27" s="23" t="n">
        <v>0.189134161189736</v>
      </c>
      <c r="G27" s="23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162</v>
      </c>
      <c r="D28" s="10" t="n">
        <v>3550</v>
      </c>
      <c r="E28" s="15" t="n">
        <v>478.759322570568</v>
      </c>
      <c r="F28" s="24" t="n">
        <v>0.175511683493541</v>
      </c>
      <c r="G28" s="24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163</v>
      </c>
      <c r="D29" s="7" t="n">
        <v>603</v>
      </c>
      <c r="E29" s="14" t="n">
        <v>454.142856536525</v>
      </c>
      <c r="F29" s="23" t="n">
        <v>0.189662936155716</v>
      </c>
      <c r="G29" s="23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151</v>
      </c>
      <c r="D30" s="10" t="n">
        <v>126</v>
      </c>
      <c r="E30" s="15" t="n">
        <v>234.369944504969</v>
      </c>
      <c r="F30" s="24" t="n">
        <v>0.42473313654433</v>
      </c>
      <c r="G30" s="24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152</v>
      </c>
      <c r="D31" s="7" t="n">
        <v>282</v>
      </c>
      <c r="E31" s="14" t="n">
        <v>258.058823253413</v>
      </c>
      <c r="F31" s="23" t="n">
        <v>0.428103876319314</v>
      </c>
      <c r="G31" s="23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153</v>
      </c>
      <c r="D32" s="10" t="n">
        <v>738</v>
      </c>
      <c r="E32" s="15" t="n">
        <v>346.205203757051</v>
      </c>
      <c r="F32" s="24" t="n">
        <v>0.597428034253832</v>
      </c>
      <c r="G32" s="24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154</v>
      </c>
      <c r="D33" s="7" t="n">
        <v>1542</v>
      </c>
      <c r="E33" s="14" t="n">
        <v>367.443491716508</v>
      </c>
      <c r="F33" s="23" t="n">
        <v>0.534254422933826</v>
      </c>
      <c r="G33" s="23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155</v>
      </c>
      <c r="D34" s="10" t="n">
        <v>7341</v>
      </c>
      <c r="E34" s="15" t="n">
        <v>444.381782084531</v>
      </c>
      <c r="F34" s="24" t="n">
        <v>0.369032113926087</v>
      </c>
      <c r="G34" s="24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156</v>
      </c>
      <c r="D35" s="7" t="n">
        <v>7554</v>
      </c>
      <c r="E35" s="14" t="n">
        <v>414.249439913248</v>
      </c>
      <c r="F35" s="23" t="n">
        <v>0.364801845435549</v>
      </c>
      <c r="G35" s="23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157</v>
      </c>
      <c r="D36" s="10" t="n">
        <v>11164</v>
      </c>
      <c r="E36" s="15" t="n">
        <v>371.956160266194</v>
      </c>
      <c r="F36" s="24" t="n">
        <v>0.285560228063442</v>
      </c>
      <c r="G36" s="24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158</v>
      </c>
      <c r="D37" s="7" t="n">
        <v>11833</v>
      </c>
      <c r="E37" s="14" t="n">
        <v>361.053475453137</v>
      </c>
      <c r="F37" s="23" t="n">
        <v>0.288288967090207</v>
      </c>
      <c r="G37" s="23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159</v>
      </c>
      <c r="D38" s="10" t="n">
        <v>30363</v>
      </c>
      <c r="E38" s="15" t="n">
        <v>375.914663009718</v>
      </c>
      <c r="F38" s="24" t="n">
        <v>0.267034079014971</v>
      </c>
      <c r="G38" s="24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160</v>
      </c>
      <c r="D39" s="7" t="n">
        <v>16372</v>
      </c>
      <c r="E39" s="14" t="n">
        <v>388.285713767309</v>
      </c>
      <c r="F39" s="23" t="n">
        <v>0.299879396218285</v>
      </c>
      <c r="G39" s="23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161</v>
      </c>
      <c r="D40" s="10" t="n">
        <v>10824</v>
      </c>
      <c r="E40" s="15" t="n">
        <v>330.755061252211</v>
      </c>
      <c r="F40" s="24" t="n">
        <v>0.29088489802897</v>
      </c>
      <c r="G40" s="24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162</v>
      </c>
      <c r="D41" s="7" t="n">
        <v>48445</v>
      </c>
      <c r="E41" s="14" t="n">
        <v>350.372548658026</v>
      </c>
      <c r="F41" s="23" t="n">
        <v>0.221604678793535</v>
      </c>
      <c r="G41" s="23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163</v>
      </c>
      <c r="D42" s="10" t="n">
        <v>66162</v>
      </c>
      <c r="E42" s="15" t="n">
        <v>337.243625574617</v>
      </c>
      <c r="F42" s="24" t="n">
        <v>0.24118899908423</v>
      </c>
      <c r="G42" s="24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164</v>
      </c>
      <c r="D43" s="7" t="n">
        <v>211422</v>
      </c>
      <c r="E43" s="14" t="n">
        <v>368.672637127576</v>
      </c>
      <c r="F43" s="23" t="n">
        <v>0.185374113646284</v>
      </c>
      <c r="G43" s="23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151</v>
      </c>
      <c r="D44" s="10" t="n">
        <v>34</v>
      </c>
      <c r="E44" s="15" t="n">
        <v>209.757971600888</v>
      </c>
      <c r="F44" s="24" t="n">
        <v>0.517428568469482</v>
      </c>
      <c r="G44" s="24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152</v>
      </c>
      <c r="D45" s="7" t="n">
        <v>54</v>
      </c>
      <c r="E45" s="14" t="n">
        <v>190.795721316447</v>
      </c>
      <c r="F45" s="23" t="n">
        <v>0.562164373559164</v>
      </c>
      <c r="G45" s="23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153</v>
      </c>
      <c r="D46" s="10" t="n">
        <v>410</v>
      </c>
      <c r="E46" s="15" t="n">
        <v>270.604217215766</v>
      </c>
      <c r="F46" s="24" t="n">
        <v>0.331366297071089</v>
      </c>
      <c r="G46" s="24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154</v>
      </c>
      <c r="D47" s="7" t="n">
        <v>729</v>
      </c>
      <c r="E47" s="14" t="n">
        <v>288.579800138928</v>
      </c>
      <c r="F47" s="23" t="n">
        <v>0.388493304716055</v>
      </c>
      <c r="G47" s="23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155</v>
      </c>
      <c r="D48" s="10" t="n">
        <v>971</v>
      </c>
      <c r="E48" s="15" t="n">
        <v>288.974477622999</v>
      </c>
      <c r="F48" s="24" t="n">
        <v>0.356738284292291</v>
      </c>
      <c r="G48" s="24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156</v>
      </c>
      <c r="D49" s="7" t="n">
        <v>980</v>
      </c>
      <c r="E49" s="14" t="n">
        <v>300.610011720505</v>
      </c>
      <c r="F49" s="23" t="n">
        <v>0.391610531514125</v>
      </c>
      <c r="G49" s="23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157</v>
      </c>
      <c r="D50" s="10" t="n">
        <v>736</v>
      </c>
      <c r="E50" s="15" t="n">
        <v>277.0931323157</v>
      </c>
      <c r="F50" s="24" t="n">
        <v>0.388379325521793</v>
      </c>
      <c r="G50" s="24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158</v>
      </c>
      <c r="D51" s="7" t="n">
        <v>789</v>
      </c>
      <c r="E51" s="14" t="n">
        <v>257.340504904265</v>
      </c>
      <c r="F51" s="23" t="n">
        <v>0.414490242049583</v>
      </c>
      <c r="G51" s="23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159</v>
      </c>
      <c r="D52" s="10" t="n">
        <v>4921</v>
      </c>
      <c r="E52" s="15" t="n">
        <v>305.811440354013</v>
      </c>
      <c r="F52" s="24" t="n">
        <v>0.284658189345987</v>
      </c>
      <c r="G52" s="24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160</v>
      </c>
      <c r="D53" s="7" t="n">
        <v>3689</v>
      </c>
      <c r="E53" s="14" t="n">
        <v>313.372933560565</v>
      </c>
      <c r="F53" s="23" t="n">
        <v>0.277362949989555</v>
      </c>
      <c r="G53" s="23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161</v>
      </c>
      <c r="D54" s="10" t="n">
        <v>1230</v>
      </c>
      <c r="E54" s="15" t="n">
        <v>223.615416028833</v>
      </c>
      <c r="F54" s="24" t="n">
        <v>0.320460196010326</v>
      </c>
      <c r="G54" s="24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162</v>
      </c>
      <c r="D55" s="7" t="n">
        <v>6302</v>
      </c>
      <c r="E55" s="14" t="n">
        <v>283.289930309644</v>
      </c>
      <c r="F55" s="23" t="n">
        <v>0.242946629747541</v>
      </c>
      <c r="G55" s="23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163</v>
      </c>
      <c r="D56" s="10" t="n">
        <v>7892</v>
      </c>
      <c r="E56" s="15" t="n">
        <v>274.58134357701</v>
      </c>
      <c r="F56" s="24" t="n">
        <v>0.259383834173968</v>
      </c>
      <c r="G56" s="24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164</v>
      </c>
      <c r="D57" s="7" t="n">
        <v>24255</v>
      </c>
      <c r="E57" s="14" t="n">
        <v>309.786025930318</v>
      </c>
      <c r="F57" s="23" t="n">
        <v>0.182065821735189</v>
      </c>
      <c r="G57" s="23" t="n">
        <v>1.109</v>
      </c>
    </row>
    <row r="59" customFormat="false" ht="16.15" hidden="false" customHeight="false" outlineLevel="0" collapsed="false">
      <c r="A59" s="1" t="s">
        <v>165</v>
      </c>
    </row>
    <row r="60" customFormat="false" ht="15" hidden="false" customHeight="false" outlineLevel="0" collapsed="false">
      <c r="A60" s="2" t="s">
        <v>166</v>
      </c>
      <c r="B60" s="2" t="s">
        <v>167</v>
      </c>
    </row>
    <row r="61" customFormat="false" ht="15" hidden="false" customHeight="false" outlineLevel="0" collapsed="false">
      <c r="A61" s="3" t="s">
        <v>168</v>
      </c>
      <c r="B61" s="17" t="n">
        <v>0.203</v>
      </c>
    </row>
    <row r="62" customFormat="false" ht="15" hidden="false" customHeight="false" outlineLevel="0" collapsed="false">
      <c r="A62" s="4" t="s">
        <v>114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  <c r="B2" s="2" t="s">
        <v>172</v>
      </c>
      <c r="C2" s="2" t="s">
        <v>173</v>
      </c>
      <c r="D2" s="2" t="s">
        <v>174</v>
      </c>
      <c r="E2" s="2" t="s">
        <v>175</v>
      </c>
      <c r="F2" s="2" t="s">
        <v>176</v>
      </c>
      <c r="G2" s="2" t="s">
        <v>177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7" t="n">
        <v>0.521885521885522</v>
      </c>
      <c r="E3" s="27" t="n">
        <v>0.407228915662651</v>
      </c>
      <c r="F3" s="27" t="n">
        <v>0.543097643097643</v>
      </c>
      <c r="G3" s="28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9" t="n">
        <v>0.580853816300129</v>
      </c>
      <c r="E4" s="29" t="n">
        <v>0.727710843373494</v>
      </c>
      <c r="F4" s="29" t="n">
        <v>0.519879258300992</v>
      </c>
      <c r="G4" s="30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7" t="n">
        <v>0.58030303030303</v>
      </c>
      <c r="E5" s="27" t="n">
        <v>0.927710843373494</v>
      </c>
      <c r="F5" s="27" t="n">
        <v>0.526414141414141</v>
      </c>
      <c r="G5" s="28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9" t="n">
        <v>0.514166666666667</v>
      </c>
      <c r="E6" s="29" t="n">
        <v>0.857831325301205</v>
      </c>
      <c r="F6" s="29" t="n">
        <v>0.525722222222222</v>
      </c>
      <c r="G6" s="30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7" t="n">
        <v>0.516237402015678</v>
      </c>
      <c r="E7" s="27" t="n">
        <v>0.734939759036145</v>
      </c>
      <c r="F7" s="27" t="n">
        <v>0.522471071295259</v>
      </c>
      <c r="G7" s="28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9" t="n">
        <v>0.524752475247525</v>
      </c>
      <c r="E8" s="29" t="n">
        <v>0.563855421686747</v>
      </c>
      <c r="F8" s="29" t="n">
        <v>0.52019801980198</v>
      </c>
      <c r="G8" s="30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7" t="n">
        <v>0.541139240506329</v>
      </c>
      <c r="E9" s="27" t="n">
        <v>0.414457831325301</v>
      </c>
      <c r="F9" s="27" t="n">
        <v>0.517405063291139</v>
      </c>
      <c r="G9" s="28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9" t="n">
        <v>0.443820224719101</v>
      </c>
      <c r="E10" s="29" t="n">
        <v>0.214457831325301</v>
      </c>
      <c r="F10" s="29" t="n">
        <v>0.498689138576779</v>
      </c>
      <c r="G10" s="30" t="n">
        <f aca="false">D10-F10</f>
        <v>-0.0548689138576779</v>
      </c>
    </row>
    <row r="12" customFormat="false" ht="16.15" hidden="false" customHeight="false" outlineLevel="0" collapsed="false">
      <c r="A12" s="1" t="s">
        <v>178</v>
      </c>
    </row>
    <row r="13" customFormat="false" ht="15" hidden="false" customHeight="false" outlineLevel="0" collapsed="false">
      <c r="A13" s="2" t="s">
        <v>179</v>
      </c>
      <c r="B13" s="2" t="s">
        <v>180</v>
      </c>
    </row>
    <row r="14" customFormat="false" ht="15" hidden="false" customHeight="false" outlineLevel="0" collapsed="false">
      <c r="A14" s="3" t="s">
        <v>172</v>
      </c>
      <c r="B14" s="6" t="n">
        <v>1320</v>
      </c>
    </row>
    <row r="15" customFormat="false" ht="15" hidden="false" customHeight="false" outlineLevel="0" collapsed="false">
      <c r="A15" s="31" t="s">
        <v>103</v>
      </c>
      <c r="B15" s="32" t="n">
        <v>-0.0758083333333332</v>
      </c>
    </row>
    <row r="16" customFormat="false" ht="15" hidden="false" customHeight="false" outlineLevel="0" collapsed="false">
      <c r="A16" s="33" t="s">
        <v>181</v>
      </c>
      <c r="B16" s="34" t="n">
        <v>0.152</v>
      </c>
    </row>
    <row r="17" customFormat="false" ht="15" hidden="false" customHeight="false" outlineLevel="0" collapsed="false">
      <c r="A17" s="4" t="s">
        <v>104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  <c r="B2" s="2" t="s">
        <v>67</v>
      </c>
      <c r="C2" s="2" t="s">
        <v>184</v>
      </c>
      <c r="D2" s="2" t="s">
        <v>185</v>
      </c>
      <c r="E2" s="2" t="s">
        <v>186</v>
      </c>
      <c r="F2" s="2" t="s">
        <v>187</v>
      </c>
      <c r="G2" s="2" t="s">
        <v>188</v>
      </c>
    </row>
    <row r="3" customFormat="false" ht="15" hidden="false" customHeight="false" outlineLevel="0" collapsed="false">
      <c r="A3" s="3" t="s">
        <v>189</v>
      </c>
      <c r="B3" s="3" t="s">
        <v>190</v>
      </c>
      <c r="C3" s="3" t="s">
        <v>191</v>
      </c>
      <c r="D3" s="14" t="n">
        <v>164.932209858122</v>
      </c>
      <c r="E3" s="23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192</v>
      </c>
      <c r="B4" s="4" t="s">
        <v>193</v>
      </c>
      <c r="C4" s="4" t="s">
        <v>191</v>
      </c>
      <c r="D4" s="15" t="n">
        <v>138.496561143358</v>
      </c>
      <c r="E4" s="24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3" t="s">
        <v>191</v>
      </c>
      <c r="D5" s="14" t="n">
        <v>134.789098647061</v>
      </c>
      <c r="E5" s="23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196</v>
      </c>
      <c r="B6" s="4" t="s">
        <v>190</v>
      </c>
      <c r="C6" s="4" t="s">
        <v>191</v>
      </c>
      <c r="D6" s="15" t="n">
        <v>154.123768904038</v>
      </c>
      <c r="E6" s="24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197</v>
      </c>
      <c r="B7" s="3" t="s">
        <v>190</v>
      </c>
      <c r="C7" s="3" t="s">
        <v>191</v>
      </c>
      <c r="D7" s="14" t="n">
        <v>137.155726282</v>
      </c>
      <c r="E7" s="23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198</v>
      </c>
      <c r="B8" s="4" t="s">
        <v>193</v>
      </c>
      <c r="C8" s="4" t="s">
        <v>199</v>
      </c>
      <c r="D8" s="15" t="n">
        <v>139.393544557154</v>
      </c>
      <c r="E8" s="24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200</v>
      </c>
      <c r="B9" s="3" t="s">
        <v>201</v>
      </c>
      <c r="C9" s="3" t="s">
        <v>191</v>
      </c>
      <c r="D9" s="14" t="n">
        <v>153.727676276695</v>
      </c>
      <c r="E9" s="23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202</v>
      </c>
      <c r="B10" s="4" t="s">
        <v>193</v>
      </c>
      <c r="C10" s="4" t="s">
        <v>191</v>
      </c>
      <c r="D10" s="15" t="n">
        <v>168.41475157952</v>
      </c>
      <c r="E10" s="24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203</v>
      </c>
      <c r="B11" s="3" t="s">
        <v>193</v>
      </c>
      <c r="C11" s="3" t="s">
        <v>191</v>
      </c>
      <c r="D11" s="14" t="n">
        <v>144.172700603197</v>
      </c>
      <c r="E11" s="23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204</v>
      </c>
      <c r="B12" s="4" t="s">
        <v>193</v>
      </c>
      <c r="C12" s="4" t="s">
        <v>205</v>
      </c>
      <c r="D12" s="15" t="n">
        <v>159.684160752595</v>
      </c>
      <c r="E12" s="24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206</v>
      </c>
      <c r="B13" s="3" t="s">
        <v>190</v>
      </c>
      <c r="C13" s="3" t="s">
        <v>205</v>
      </c>
      <c r="D13" s="14" t="n">
        <v>167.800529418651</v>
      </c>
      <c r="E13" s="23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207</v>
      </c>
      <c r="B14" s="4" t="s">
        <v>195</v>
      </c>
      <c r="C14" s="4" t="s">
        <v>199</v>
      </c>
      <c r="D14" s="15" t="n">
        <v>124.601455398543</v>
      </c>
      <c r="E14" s="24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208</v>
      </c>
      <c r="B15" s="3" t="s">
        <v>193</v>
      </c>
      <c r="C15" s="3" t="s">
        <v>191</v>
      </c>
      <c r="D15" s="14" t="n">
        <v>119.768508894793</v>
      </c>
      <c r="E15" s="23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209</v>
      </c>
      <c r="B16" s="4" t="s">
        <v>195</v>
      </c>
      <c r="C16" s="4" t="s">
        <v>191</v>
      </c>
      <c r="D16" s="15" t="n">
        <v>119.704137883813</v>
      </c>
      <c r="E16" s="24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210</v>
      </c>
      <c r="B17" s="3" t="s">
        <v>195</v>
      </c>
      <c r="C17" s="3" t="s">
        <v>191</v>
      </c>
      <c r="D17" s="14" t="n">
        <v>158.678228976082</v>
      </c>
      <c r="E17" s="23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2" t="s">
        <v>213</v>
      </c>
      <c r="B2" s="2" t="s">
        <v>214</v>
      </c>
      <c r="C2" s="2" t="s">
        <v>215</v>
      </c>
      <c r="D2" s="2" t="s">
        <v>216</v>
      </c>
      <c r="E2" s="2" t="s">
        <v>217</v>
      </c>
      <c r="F2" s="2" t="s">
        <v>218</v>
      </c>
      <c r="G2" s="2" t="s">
        <v>219</v>
      </c>
      <c r="H2" s="2" t="s">
        <v>220</v>
      </c>
      <c r="I2" s="2" t="s">
        <v>221</v>
      </c>
      <c r="J2" s="2" t="s">
        <v>149</v>
      </c>
      <c r="K2" s="2" t="s">
        <v>222</v>
      </c>
      <c r="L2" s="2" t="s">
        <v>223</v>
      </c>
      <c r="M2" s="2" t="s">
        <v>34</v>
      </c>
    </row>
    <row r="3" customFormat="false" ht="15" hidden="false" customHeight="false" outlineLevel="0" collapsed="false">
      <c r="A3" s="3" t="s">
        <v>224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3" t="n">
        <v>0.0048</v>
      </c>
      <c r="K3" s="3" t="s">
        <v>225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224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4" t="n">
        <v>0.0095</v>
      </c>
      <c r="K4" s="4" t="s">
        <v>226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224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3" t="n">
        <v>0.0117</v>
      </c>
      <c r="K5" s="3" t="s">
        <v>227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224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4" t="n">
        <v>0.0128</v>
      </c>
      <c r="K6" s="4" t="s">
        <v>228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224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3" t="n">
        <v>0.0172</v>
      </c>
      <c r="K7" s="3" t="s">
        <v>229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230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4" t="n">
        <v>0.1651</v>
      </c>
      <c r="K8" s="4" t="s">
        <v>231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230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3" t="n">
        <v>0.2719</v>
      </c>
      <c r="K9" s="3" t="s">
        <v>232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230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4" t="n">
        <v>0.0715</v>
      </c>
      <c r="K10" s="4" t="s">
        <v>233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230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3" t="n">
        <v>0.0977</v>
      </c>
      <c r="K11" s="3" t="s">
        <v>233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230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4" t="n">
        <v>0.1226</v>
      </c>
      <c r="K12" s="4" t="s">
        <v>234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235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3" t="n">
        <v>0.1226</v>
      </c>
      <c r="K13" s="3" t="s">
        <v>234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235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4" t="n">
        <v>0.1651</v>
      </c>
      <c r="K14" s="4" t="s">
        <v>231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235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3" t="n">
        <v>0.1055</v>
      </c>
      <c r="K15" s="3" t="s">
        <v>236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235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4" t="n">
        <v>0.0952</v>
      </c>
      <c r="K16" s="4" t="s">
        <v>237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235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3" t="n">
        <v>0.0423</v>
      </c>
      <c r="K17" s="3" t="s">
        <v>238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58</v>
      </c>
      <c r="B2" s="2" t="s">
        <v>240</v>
      </c>
      <c r="C2" s="2" t="s">
        <v>188</v>
      </c>
      <c r="D2" s="2" t="s">
        <v>241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7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9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7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9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179</v>
      </c>
      <c r="B9" s="2" t="s">
        <v>2</v>
      </c>
    </row>
    <row r="10" customFormat="false" ht="15" hidden="false" customHeight="false" outlineLevel="0" collapsed="false">
      <c r="A10" s="3" t="s">
        <v>242</v>
      </c>
      <c r="B10" s="35" t="n">
        <v>233015.6</v>
      </c>
    </row>
    <row r="11" customFormat="false" ht="15" hidden="false" customHeight="false" outlineLevel="0" collapsed="false">
      <c r="A11" s="4" t="s">
        <v>243</v>
      </c>
      <c r="B11" s="29" t="n">
        <v>0.085</v>
      </c>
    </row>
    <row r="12" customFormat="false" ht="15" hidden="false" customHeight="false" outlineLevel="0" collapsed="false">
      <c r="A12" s="3" t="s">
        <v>244</v>
      </c>
      <c r="B12" s="35" t="n">
        <v>0.73</v>
      </c>
    </row>
    <row r="13" customFormat="false" ht="15" hidden="false" customHeight="false" outlineLevel="0" collapsed="false">
      <c r="A13" s="4" t="s">
        <v>245</v>
      </c>
      <c r="B13" s="36" t="n">
        <v>154.4</v>
      </c>
    </row>
    <row r="14" customFormat="false" ht="15" hidden="false" customHeight="false" outlineLevel="0" collapsed="false">
      <c r="A14" s="3" t="s">
        <v>246</v>
      </c>
      <c r="B14" s="35" t="n">
        <v>130.9</v>
      </c>
    </row>
    <row r="15" customFormat="false" ht="15" hidden="false" customHeight="false" outlineLevel="0" collapsed="false">
      <c r="A15" s="4" t="s">
        <v>247</v>
      </c>
      <c r="B15" s="36" t="n">
        <v>170.2</v>
      </c>
    </row>
    <row r="17" customFormat="false" ht="16.15" hidden="false" customHeight="false" outlineLevel="0" collapsed="false">
      <c r="A17" s="1" t="s">
        <v>248</v>
      </c>
    </row>
    <row r="18" customFormat="false" ht="15" hidden="false" customHeight="false" outlineLevel="0" collapsed="false">
      <c r="A18" s="2" t="s">
        <v>249</v>
      </c>
      <c r="B18" s="2" t="s">
        <v>250</v>
      </c>
      <c r="C18" s="2" t="s">
        <v>240</v>
      </c>
    </row>
    <row r="19" customFormat="false" ht="15" hidden="false" customHeight="false" outlineLevel="0" collapsed="false">
      <c r="A19" s="3" t="s">
        <v>251</v>
      </c>
      <c r="B19" s="3" t="s">
        <v>252</v>
      </c>
      <c r="C19" s="7" t="n">
        <v>1159</v>
      </c>
    </row>
    <row r="20" customFormat="false" ht="15" hidden="false" customHeight="false" outlineLevel="0" collapsed="false">
      <c r="A20" s="4" t="s">
        <v>253</v>
      </c>
      <c r="B20" s="4" t="s">
        <v>252</v>
      </c>
      <c r="C20" s="10" t="n">
        <v>13651</v>
      </c>
    </row>
    <row r="21" customFormat="false" ht="15" hidden="false" customHeight="false" outlineLevel="0" collapsed="false">
      <c r="A21" s="3" t="s">
        <v>254</v>
      </c>
      <c r="B21" s="3" t="s">
        <v>252</v>
      </c>
      <c r="C21" s="7" t="n">
        <v>103</v>
      </c>
    </row>
    <row r="23" customFormat="false" ht="15" hidden="false" customHeight="false" outlineLevel="0" collapsed="false">
      <c r="A23" s="12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2026-10-22T19:49:13Z</dcterms:created>
  <dc:creator>openpyxl</dc:creator>
  <dc:description/>
  <dc:language>en-US</dc:language>
  <cp:lastModifiedBy/>
  <dcterms:modified xsi:type="dcterms:W3CDTF">2026-10-22T19:49:13Z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